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-my.sharepoint.com/personal/tmjg5h_umsystem_edu/Documents/CS4350/tmjg5h_Assignment2/"/>
    </mc:Choice>
  </mc:AlternateContent>
  <xr:revisionPtr revIDLastSave="2" documentId="13_ncr:1_{2DDE488E-0D3D-B54C-AB0E-68AD3E969F91}" xr6:coauthVersionLast="47" xr6:coauthVersionMax="47" xr10:uidLastSave="{EC28A5DC-6D92-CF42-9B37-373E9CAD6A19}"/>
  <bookViews>
    <workbookView xWindow="0" yWindow="660" windowWidth="29400" windowHeight="18460" firstSheet="23" activeTab="35" xr2:uid="{00000000-000D-0000-FFFF-FFFF00000000}"/>
  </bookViews>
  <sheets>
    <sheet name="Appraisers" sheetId="44" r:id="rId1"/>
    <sheet name="Customers" sheetId="18" r:id="rId2"/>
    <sheet name="Debt_Payments" sheetId="8" r:id="rId3"/>
    <sheet name="Diet_Center" sheetId="43" r:id="rId4"/>
    <sheet name="Diets" sheetId="30" r:id="rId5"/>
    <sheet name="Economics" sheetId="7" r:id="rId6"/>
    <sheet name="Fidelity_Returns" sheetId="16" r:id="rId7"/>
    <sheet name="Field_Choice" sheetId="17" r:id="rId8"/>
    <sheet name="Gold_Oil" sheetId="27" r:id="rId9"/>
    <sheet name="Highway_Speeds" sheetId="12" r:id="rId10"/>
    <sheet name="Industrial" sheetId="42" r:id="rId11"/>
    <sheet name="Income" sheetId="45" r:id="rId12"/>
    <sheet name="Labor_Costs" sheetId="38" r:id="rId13"/>
    <sheet name="Latinx_Income" sheetId="25" r:id="rId14"/>
    <sheet name="Longevity" sheetId="28" r:id="rId15"/>
    <sheet name="Lottery" sheetId="24" r:id="rId16"/>
    <sheet name="Math_Scores" sheetId="9" r:id="rId17"/>
    <sheet name="MPG" sheetId="11" r:id="rId18"/>
    <sheet name="Nicknames" sheetId="32" r:id="rId19"/>
    <sheet name="Premiums" sheetId="36" r:id="rId20"/>
    <sheet name="Prime" sheetId="13" r:id="rId21"/>
    <sheet name="Returns" sheetId="37" r:id="rId22"/>
    <sheet name="Safety_Program" sheetId="35" r:id="rId23"/>
    <sheet name="Salaries" sheetId="33" r:id="rId24"/>
    <sheet name="Searches" sheetId="29" r:id="rId25"/>
    <sheet name="Silicon_Valley" sheetId="14" r:id="rId26"/>
    <sheet name="Smoking" sheetId="39" r:id="rId27"/>
    <sheet name="Spam" sheetId="40" r:id="rId28"/>
    <sheet name="Spending" sheetId="34" r:id="rId29"/>
    <sheet name="Startups" sheetId="10" r:id="rId30"/>
    <sheet name="Stock_Price" sheetId="20" r:id="rId31"/>
    <sheet name="Study_Hours" sheetId="6" r:id="rId32"/>
    <sheet name="Sudoku" sheetId="26" r:id="rId33"/>
    <sheet name="Teacher_Sal" sheetId="41" r:id="rId34"/>
    <sheet name="Tractor_Times" sheetId="31" r:id="rId35"/>
    <sheet name="Wait_Time" sheetId="23" r:id="rId36"/>
    <sheet name="Wellbeing" sheetId="15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3" l="1"/>
  <c r="F6" i="13"/>
  <c r="F4" i="13"/>
  <c r="F3" i="13"/>
  <c r="A17" i="23"/>
  <c r="A18" i="23"/>
  <c r="A19" i="23"/>
  <c r="A20" i="23"/>
  <c r="A21" i="23"/>
  <c r="A22" i="23"/>
  <c r="A16" i="23"/>
  <c r="A11" i="23"/>
  <c r="A12" i="23"/>
  <c r="A13" i="23"/>
  <c r="A14" i="23"/>
  <c r="A15" i="23"/>
  <c r="A9" i="23"/>
  <c r="A32" i="17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</calcChain>
</file>

<file path=xl/sharedStrings.xml><?xml version="1.0" encoding="utf-8"?>
<sst xmlns="http://schemas.openxmlformats.org/spreadsheetml/2006/main" count="480" uniqueCount="256">
  <si>
    <t>Hours</t>
  </si>
  <si>
    <t>Micro</t>
  </si>
  <si>
    <t>Macro</t>
  </si>
  <si>
    <t>Metropolitan area</t>
  </si>
  <si>
    <t>Debt</t>
  </si>
  <si>
    <t>Income</t>
  </si>
  <si>
    <t>Unemployment</t>
  </si>
  <si>
    <t>Washington, D.C.</t>
  </si>
  <si>
    <t>Seattle</t>
  </si>
  <si>
    <t>Baltimore</t>
  </si>
  <si>
    <t>Boston</t>
  </si>
  <si>
    <t>Denver</t>
  </si>
  <si>
    <t>San Francisco</t>
  </si>
  <si>
    <t>San Diego</t>
  </si>
  <si>
    <t>Sacramento</t>
  </si>
  <si>
    <t>Los Angeles</t>
  </si>
  <si>
    <t>Chicago</t>
  </si>
  <si>
    <t>Philadelphia</t>
  </si>
  <si>
    <t>Minneapolis</t>
  </si>
  <si>
    <t>New York</t>
  </si>
  <si>
    <t>Atlanta</t>
  </si>
  <si>
    <t>Dallas</t>
  </si>
  <si>
    <t>Phoenix</t>
  </si>
  <si>
    <t>Portland</t>
  </si>
  <si>
    <t>Cincinnati</t>
  </si>
  <si>
    <t>Houston</t>
  </si>
  <si>
    <t>Columbus</t>
  </si>
  <si>
    <t>St. Louis</t>
  </si>
  <si>
    <t>Miami</t>
  </si>
  <si>
    <t>Detroit</t>
  </si>
  <si>
    <t>Cleveland</t>
  </si>
  <si>
    <t>Tampa</t>
  </si>
  <si>
    <t>Pittsburgh</t>
  </si>
  <si>
    <t>Boys</t>
  </si>
  <si>
    <t>Girls</t>
  </si>
  <si>
    <t>Name of Institution</t>
  </si>
  <si>
    <t>Startups</t>
  </si>
  <si>
    <t>Research</t>
  </si>
  <si>
    <t>Patents</t>
  </si>
  <si>
    <t>Duration</t>
  </si>
  <si>
    <t>Albert Einstein College of Med/Yeshiva Univ.</t>
  </si>
  <si>
    <t>Arizona State Univ.</t>
  </si>
  <si>
    <t>Auburn Univ.</t>
  </si>
  <si>
    <t>Baylor College of Medicine</t>
  </si>
  <si>
    <t xml:space="preserve">Boston Univ./Boston Medical Ctr. </t>
  </si>
  <si>
    <t>Bowling Green State Univ.</t>
  </si>
  <si>
    <t>Brigham Young Univ.</t>
  </si>
  <si>
    <t>Calpoly State Univ, SLO</t>
  </si>
  <si>
    <t>Carnegie Mellon Univ.</t>
  </si>
  <si>
    <t>Clemnson Univ.</t>
  </si>
  <si>
    <t>Colorado State Univ.</t>
  </si>
  <si>
    <t>Columbia Univ.</t>
  </si>
  <si>
    <t>Cornell Research Fdn., Inc.</t>
  </si>
  <si>
    <t>Dartmouth College</t>
  </si>
  <si>
    <t>Drexel Univ.</t>
  </si>
  <si>
    <t>Duke Univ.</t>
  </si>
  <si>
    <t>Duquesne Univ.</t>
  </si>
  <si>
    <t>East Carolina Univ.</t>
  </si>
  <si>
    <t>Eastern Virginia Medical School</t>
  </si>
  <si>
    <t>Emory Univ.</t>
  </si>
  <si>
    <t>Florida Atlantic Univ.</t>
  </si>
  <si>
    <t>Florida State Univ.</t>
  </si>
  <si>
    <t>George Mason Univ.</t>
  </si>
  <si>
    <t>Georgetown Univ.</t>
  </si>
  <si>
    <t>Georgia Inst. Of Technology</t>
  </si>
  <si>
    <t>Harvard univ.</t>
  </si>
  <si>
    <t>Indiana Univ. (ARTI)</t>
  </si>
  <si>
    <t>Iowa State Univ.</t>
  </si>
  <si>
    <t>Johns Hopkins Univ.</t>
  </si>
  <si>
    <t>Johns Hopkins Univ. Applied Physics Laboratory</t>
  </si>
  <si>
    <t>Kansas State Univ. Research Fdn.</t>
  </si>
  <si>
    <t>Kent State Univ.</t>
  </si>
  <si>
    <t>Louisiana State Univ. System</t>
  </si>
  <si>
    <t>Louisiana Tech Univ.</t>
  </si>
  <si>
    <t>Massachusetts Inst. Of Technology (MIT)</t>
  </si>
  <si>
    <t>Medical College of Georgia Research Inst.</t>
  </si>
  <si>
    <t>Medical College of Wisconsin Research Fndtn</t>
  </si>
  <si>
    <t>Medical Univ. of South Carolina</t>
  </si>
  <si>
    <t>Michigan State Univ.</t>
  </si>
  <si>
    <t xml:space="preserve"> Michigan Technological Univ.</t>
  </si>
  <si>
    <t>Mississippi State Univ.</t>
  </si>
  <si>
    <t>Montana State Univ.</t>
  </si>
  <si>
    <t>Mount Sinai School of Medicine of NYU</t>
  </si>
  <si>
    <t>New Jersey Inst. Of Technology</t>
  </si>
  <si>
    <t>New Mexico State Univ.</t>
  </si>
  <si>
    <t>New York Univ.</t>
  </si>
  <si>
    <t>North Carolina State Univ.</t>
  </si>
  <si>
    <t>North Dakota State Univ.</t>
  </si>
  <si>
    <t>Northeastern Univ.</t>
  </si>
  <si>
    <t>Ohio State Univ.</t>
  </si>
  <si>
    <t>Ohio Univ.</t>
  </si>
  <si>
    <t>Oklahoma State Univ.</t>
  </si>
  <si>
    <t>Oregona Health &amp; Science Univ.</t>
  </si>
  <si>
    <t>Oregon State Univ.</t>
  </si>
  <si>
    <t>Penn State Univ.</t>
  </si>
  <si>
    <t>Portland State Univ.</t>
  </si>
  <si>
    <t>Purdue Research Fdn.</t>
  </si>
  <si>
    <t>Rensselaer Polytechnic Inst.</t>
  </si>
  <si>
    <t>Research Foundation of SUNY</t>
  </si>
  <si>
    <t>Rice Univ.</t>
  </si>
  <si>
    <t>Rutgers, The State Univ. of NJ</t>
  </si>
  <si>
    <t>San Diego State Univ.</t>
  </si>
  <si>
    <t>Stanford Univ.</t>
  </si>
  <si>
    <t>Stevens Inst. Of Technology</t>
  </si>
  <si>
    <t>Temple Univ.</t>
  </si>
  <si>
    <t>Texas A&amp;M Univ. System</t>
  </si>
  <si>
    <t>The UAB Research Fdn.</t>
  </si>
  <si>
    <t>Thomas Jefferson Univ.</t>
  </si>
  <si>
    <t>Tufts Univ.</t>
  </si>
  <si>
    <t>Tulane Univ.</t>
  </si>
  <si>
    <t>Univ. of Akron</t>
  </si>
  <si>
    <t>Univ. of Alabama</t>
  </si>
  <si>
    <t>Univ. of Alabama in Huntsville</t>
  </si>
  <si>
    <t>Univ. of Arizona</t>
  </si>
  <si>
    <t>Univ. of Arkansas for Medical Sciences</t>
  </si>
  <si>
    <t>Univ. of Arkansas, Fayetteville</t>
  </si>
  <si>
    <t>Univ. of  California System</t>
  </si>
  <si>
    <t>Univ. of Central Florida</t>
  </si>
  <si>
    <t>Univ. of Chicago/UC Tech</t>
  </si>
  <si>
    <t>Univ. of Cincinnati</t>
  </si>
  <si>
    <t>Univ. of Colorado</t>
  </si>
  <si>
    <t>Univ. of Connecticut</t>
  </si>
  <si>
    <t>Univ. of Delaware</t>
  </si>
  <si>
    <t>Univ. of Florida</t>
  </si>
  <si>
    <t>Univ. of Georgia</t>
  </si>
  <si>
    <t>Univ. of Hawaii</t>
  </si>
  <si>
    <t>Univ. of Houston</t>
  </si>
  <si>
    <t>Univ. of Idaho</t>
  </si>
  <si>
    <t>Univ. of Illinois, Chicago, Urbana</t>
  </si>
  <si>
    <t>Univ. of Iowa Research Fdn.</t>
  </si>
  <si>
    <t>Univ. of Kansas</t>
  </si>
  <si>
    <t>Univ. of Kentucky Research Fdn.</t>
  </si>
  <si>
    <t>Univ. of Louisville</t>
  </si>
  <si>
    <t>Univ. of Maryland Biotechnology Inst.</t>
  </si>
  <si>
    <t>Univ. of Maryland, Baltimore</t>
  </si>
  <si>
    <t>Univ. of Maryland, Baltimore Country</t>
  </si>
  <si>
    <t>Univ. of Maryland, College Park</t>
  </si>
  <si>
    <t>Univ. of Massachusetts</t>
  </si>
  <si>
    <t>Univ. of Miami</t>
  </si>
  <si>
    <t>Univ.  Of Michigan</t>
  </si>
  <si>
    <t xml:space="preserve">Univ.  Of Minnesota </t>
  </si>
  <si>
    <t>Univ. of Mississippi</t>
  </si>
  <si>
    <t>Univ. of Missouri, all campuses</t>
  </si>
  <si>
    <t>Univ. of Nebraska</t>
  </si>
  <si>
    <t>Univ. of New Hampshire</t>
  </si>
  <si>
    <t>Univ. of New Mexico/Sci. &amp; Tech. Corp.</t>
  </si>
  <si>
    <t>Univ. of North Carolina at Greensboro</t>
  </si>
  <si>
    <t>Univ. of North Carolina, Chapel Hill</t>
  </si>
  <si>
    <t>Univ. of North Carolina, Charlotte</t>
  </si>
  <si>
    <t>Univ. of North Texas Health Science Ctr.</t>
  </si>
  <si>
    <t>Univ. of Notre Dame</t>
  </si>
  <si>
    <t>Univ. of Oklahoma, All Campuses</t>
  </si>
  <si>
    <t>Univ. of Oregon</t>
  </si>
  <si>
    <t>Univ. of Pennsylvania</t>
  </si>
  <si>
    <t>Univ. of Pittsburgh</t>
  </si>
  <si>
    <t>Univ. of Rochester</t>
  </si>
  <si>
    <t>Univ. of South Alabama</t>
  </si>
  <si>
    <t>Univ. of South Carolina</t>
  </si>
  <si>
    <t>Univ. of South Dakota</t>
  </si>
  <si>
    <t>Univ. of South Florida</t>
  </si>
  <si>
    <t>Univ. of Southern California</t>
  </si>
  <si>
    <t>Univ. of Tennessee</t>
  </si>
  <si>
    <t>Univ. of Texas at Austin</t>
  </si>
  <si>
    <t>Univ. of Texas Health Science Ctr., Houston</t>
  </si>
  <si>
    <t>Univ. of Texas Health Science Ctr., San Antonio</t>
  </si>
  <si>
    <t>Univ. of Texas Medical Branch</t>
  </si>
  <si>
    <t>Univ. of Texas Southwestern Med. Ctr.</t>
  </si>
  <si>
    <t>Univ. of Texas, Arlington</t>
  </si>
  <si>
    <t>Univ. of Toledo</t>
  </si>
  <si>
    <t>Univ. of Utah</t>
  </si>
  <si>
    <t>Univ. of Vermont</t>
  </si>
  <si>
    <t xml:space="preserve">Univ. of Virginia Patent Fdn. </t>
  </si>
  <si>
    <t>Univ. of Washington/Wash. Res. Fdn.</t>
  </si>
  <si>
    <t>Univ. of West Florida</t>
  </si>
  <si>
    <t>Utah State Univ.</t>
  </si>
  <si>
    <t>Vanderbilt Univ.</t>
  </si>
  <si>
    <t>Virginia Commonwealth Univ.</t>
  </si>
  <si>
    <t>Virginia Tech Intellectual Properties, Inc.</t>
  </si>
  <si>
    <t>W.A.R.F./Univ. of Wisconsin Madison</t>
  </si>
  <si>
    <t>Wake Forest Univ.</t>
  </si>
  <si>
    <t>Washington State Univ. Research Fdn.</t>
  </si>
  <si>
    <t>Wayne State Univ.</t>
  </si>
  <si>
    <t>West Virginia Univ.</t>
  </si>
  <si>
    <t>MPG</t>
  </si>
  <si>
    <t>Ethnicity</t>
  </si>
  <si>
    <t>Female</t>
  </si>
  <si>
    <t>White</t>
  </si>
  <si>
    <t>Male</t>
  </si>
  <si>
    <t>Nonwhite</t>
  </si>
  <si>
    <t>Wellbeing</t>
  </si>
  <si>
    <t>Year</t>
  </si>
  <si>
    <t>Automotive</t>
  </si>
  <si>
    <t>Gold</t>
  </si>
  <si>
    <t>No</t>
  </si>
  <si>
    <t>Field Choice</t>
  </si>
  <si>
    <t>Business</t>
  </si>
  <si>
    <t>Other</t>
  </si>
  <si>
    <t>STEM</t>
  </si>
  <si>
    <t>Customers</t>
  </si>
  <si>
    <t>Expenditures</t>
  </si>
  <si>
    <t>Month</t>
  </si>
  <si>
    <t>Price</t>
  </si>
  <si>
    <t>January</t>
  </si>
  <si>
    <t>February</t>
  </si>
  <si>
    <t>March</t>
  </si>
  <si>
    <t>April</t>
  </si>
  <si>
    <t>May</t>
  </si>
  <si>
    <t>June</t>
  </si>
  <si>
    <t>Time</t>
  </si>
  <si>
    <t>Lottery</t>
  </si>
  <si>
    <t>Customer</t>
  </si>
  <si>
    <t>Sex</t>
  </si>
  <si>
    <t>Woman</t>
  </si>
  <si>
    <t>Man</t>
  </si>
  <si>
    <t>Speed</t>
  </si>
  <si>
    <t>Oil</t>
  </si>
  <si>
    <t>Brand_A</t>
  </si>
  <si>
    <t>Brand_B</t>
  </si>
  <si>
    <t>Day</t>
  </si>
  <si>
    <t>Evening</t>
  </si>
  <si>
    <t>Low_carb</t>
  </si>
  <si>
    <t>Low_fat</t>
  </si>
  <si>
    <t>Old</t>
  </si>
  <si>
    <t>New</t>
  </si>
  <si>
    <t>Years</t>
  </si>
  <si>
    <t>Nickname</t>
  </si>
  <si>
    <t>Salary_2018</t>
  </si>
  <si>
    <t>Salary_2020</t>
  </si>
  <si>
    <t>Men</t>
  </si>
  <si>
    <t>Women</t>
  </si>
  <si>
    <t>Plant</t>
  </si>
  <si>
    <t>Before</t>
  </si>
  <si>
    <t>After</t>
  </si>
  <si>
    <t>Policyholder</t>
  </si>
  <si>
    <t>Competitor</t>
  </si>
  <si>
    <t>InsureMe</t>
  </si>
  <si>
    <t>Stock_A</t>
  </si>
  <si>
    <t>Stock_B</t>
  </si>
  <si>
    <t>Product</t>
  </si>
  <si>
    <t>Estimated</t>
  </si>
  <si>
    <t>Actual</t>
  </si>
  <si>
    <t>Spam</t>
  </si>
  <si>
    <t>Hyperlinks</t>
  </si>
  <si>
    <t>Worker</t>
  </si>
  <si>
    <t>Method_A</t>
  </si>
  <si>
    <t>Method_B</t>
  </si>
  <si>
    <t>Client</t>
  </si>
  <si>
    <t>Property</t>
  </si>
  <si>
    <t>Appraiser_1</t>
  </si>
  <si>
    <t>Appraiser_2</t>
  </si>
  <si>
    <t>Household</t>
  </si>
  <si>
    <t>x bar</t>
  </si>
  <si>
    <t>s</t>
  </si>
  <si>
    <t>n</t>
  </si>
  <si>
    <t>se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</si>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</sst>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2" fontId="0" fillId="0" borderId="0" xfId="0" applyNumberFormat="1" applyAlignment="1">
      <alignment horizontal="left"/>
    </xf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65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E11-7CE3-41B5-8E5D-D7611E42E7C9}">
  <dimension ref="A1:C7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8.83203125" style="1"/>
    <col min="2" max="2" width="11.1640625" style="1" customWidth="1"/>
    <col min="3" max="3" width="10.83203125" style="1" customWidth="1"/>
  </cols>
  <sheetData>
    <row r="1" spans="1:3" x14ac:dyDescent="0.2">
      <c r="A1" s="1" t="s">
        <v>247</v>
      </c>
      <c r="B1" s="1" t="s">
        <v>248</v>
      </c>
      <c r="C1" s="1" t="s">
        <v>249</v>
      </c>
    </row>
    <row r="2" spans="1:3" x14ac:dyDescent="0.2">
      <c r="A2" s="1">
        <v>1</v>
      </c>
      <c r="B2" s="1">
        <v>235</v>
      </c>
      <c r="C2" s="1">
        <v>239</v>
      </c>
    </row>
    <row r="3" spans="1:3" x14ac:dyDescent="0.2">
      <c r="A3" s="1">
        <v>2</v>
      </c>
      <c r="B3" s="1">
        <v>195</v>
      </c>
      <c r="C3" s="1">
        <v>190</v>
      </c>
    </row>
    <row r="4" spans="1:3" x14ac:dyDescent="0.2">
      <c r="A4" s="1">
        <v>3</v>
      </c>
      <c r="B4" s="1">
        <v>264</v>
      </c>
      <c r="C4" s="1">
        <v>271</v>
      </c>
    </row>
    <row r="5" spans="1:3" x14ac:dyDescent="0.2">
      <c r="A5" s="1">
        <v>4</v>
      </c>
      <c r="B5" s="1">
        <v>315</v>
      </c>
      <c r="C5" s="1">
        <v>310</v>
      </c>
    </row>
    <row r="6" spans="1:3" x14ac:dyDescent="0.2">
      <c r="A6" s="1">
        <v>5</v>
      </c>
      <c r="B6" s="1">
        <v>435</v>
      </c>
      <c r="C6" s="1">
        <v>437</v>
      </c>
    </row>
    <row r="7" spans="1:3" x14ac:dyDescent="0.2">
      <c r="A7" s="1">
        <v>6</v>
      </c>
      <c r="B7" s="1">
        <v>515</v>
      </c>
      <c r="C7" s="1">
        <v>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6" sqref="A6"/>
    </sheetView>
  </sheetViews>
  <sheetFormatPr baseColWidth="10" defaultColWidth="8.83203125" defaultRowHeight="15" x14ac:dyDescent="0.2"/>
  <sheetData>
    <row r="1" spans="1:1" x14ac:dyDescent="0.2">
      <c r="A1" t="s">
        <v>198</v>
      </c>
    </row>
    <row r="2" spans="1:1" x14ac:dyDescent="0.2">
      <c r="A2">
        <v>120</v>
      </c>
    </row>
    <row r="3" spans="1:1" x14ac:dyDescent="0.2">
      <c r="A3">
        <v>130</v>
      </c>
    </row>
    <row r="4" spans="1:1" x14ac:dyDescent="0.2">
      <c r="A4">
        <v>100</v>
      </c>
    </row>
    <row r="5" spans="1:1" x14ac:dyDescent="0.2">
      <c r="A5">
        <v>205</v>
      </c>
    </row>
    <row r="6" spans="1:1" x14ac:dyDescent="0.2">
      <c r="A6">
        <v>185</v>
      </c>
    </row>
    <row r="7" spans="1:1" x14ac:dyDescent="0.2">
      <c r="A7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sqref="A1:D1048576"/>
    </sheetView>
  </sheetViews>
  <sheetFormatPr baseColWidth="10" defaultColWidth="8.83203125" defaultRowHeight="15" x14ac:dyDescent="0.2"/>
  <cols>
    <col min="1" max="1" width="17.5" style="1" customWidth="1"/>
    <col min="2" max="2" width="15.1640625" style="1" customWidth="1"/>
    <col min="3" max="3" width="12.5" style="1" customWidth="1"/>
    <col min="4" max="4" width="16.83203125" style="1" customWidth="1"/>
  </cols>
  <sheetData>
    <row r="1" spans="1:4" ht="16" x14ac:dyDescent="0.2">
      <c r="A1" s="2" t="s">
        <v>3</v>
      </c>
      <c r="B1" s="3" t="s">
        <v>4</v>
      </c>
      <c r="C1" s="3" t="s">
        <v>5</v>
      </c>
      <c r="D1" s="3" t="s">
        <v>6</v>
      </c>
    </row>
    <row r="2" spans="1:4" ht="16" x14ac:dyDescent="0.2">
      <c r="A2" s="2" t="s">
        <v>7</v>
      </c>
      <c r="B2" s="3">
        <v>1285</v>
      </c>
      <c r="C2" s="3">
        <v>103.5</v>
      </c>
      <c r="D2" s="3">
        <v>6.3</v>
      </c>
    </row>
    <row r="3" spans="1:4" ht="16" x14ac:dyDescent="0.2">
      <c r="A3" s="2" t="s">
        <v>8</v>
      </c>
      <c r="B3" s="3">
        <v>1135</v>
      </c>
      <c r="C3" s="3">
        <v>81.7</v>
      </c>
      <c r="D3" s="3">
        <v>8.5</v>
      </c>
    </row>
    <row r="4" spans="1:4" ht="16" x14ac:dyDescent="0.2">
      <c r="A4" s="2" t="s">
        <v>9</v>
      </c>
      <c r="B4" s="3">
        <v>1133</v>
      </c>
      <c r="C4" s="3">
        <v>82.2</v>
      </c>
      <c r="D4" s="3">
        <v>8.1</v>
      </c>
    </row>
    <row r="5" spans="1:4" ht="16" x14ac:dyDescent="0.2">
      <c r="A5" s="2" t="s">
        <v>10</v>
      </c>
      <c r="B5" s="3">
        <v>1133</v>
      </c>
      <c r="C5" s="3">
        <v>89.5</v>
      </c>
      <c r="D5" s="3">
        <v>7.6</v>
      </c>
    </row>
    <row r="6" spans="1:4" ht="16" x14ac:dyDescent="0.2">
      <c r="A6" s="2" t="s">
        <v>11</v>
      </c>
      <c r="B6" s="3">
        <v>1104</v>
      </c>
      <c r="C6" s="3">
        <v>75.900000000000006</v>
      </c>
      <c r="D6" s="3">
        <v>8.1</v>
      </c>
    </row>
    <row r="7" spans="1:4" ht="16" x14ac:dyDescent="0.2">
      <c r="A7" s="2" t="s">
        <v>12</v>
      </c>
      <c r="B7" s="3">
        <v>1098</v>
      </c>
      <c r="C7" s="3">
        <v>93.4</v>
      </c>
      <c r="D7" s="3">
        <v>9.3000000000000007</v>
      </c>
    </row>
    <row r="8" spans="1:4" ht="16" x14ac:dyDescent="0.2">
      <c r="A8" s="2" t="s">
        <v>13</v>
      </c>
      <c r="B8" s="3">
        <v>1076</v>
      </c>
      <c r="C8" s="3">
        <v>75.5</v>
      </c>
      <c r="D8" s="3">
        <v>10.6</v>
      </c>
    </row>
    <row r="9" spans="1:4" ht="16" x14ac:dyDescent="0.2">
      <c r="A9" s="2" t="s">
        <v>14</v>
      </c>
      <c r="B9" s="3">
        <v>1045</v>
      </c>
      <c r="C9" s="3">
        <v>73.099999999999994</v>
      </c>
      <c r="D9" s="3">
        <v>12.4</v>
      </c>
    </row>
    <row r="10" spans="1:4" ht="16" x14ac:dyDescent="0.2">
      <c r="A10" s="2" t="s">
        <v>15</v>
      </c>
      <c r="B10" s="3">
        <v>1024</v>
      </c>
      <c r="C10" s="3">
        <v>68.2</v>
      </c>
      <c r="D10" s="3">
        <v>12.9</v>
      </c>
    </row>
    <row r="11" spans="1:4" ht="16" x14ac:dyDescent="0.2">
      <c r="A11" s="2" t="s">
        <v>16</v>
      </c>
      <c r="B11" s="3">
        <v>1017</v>
      </c>
      <c r="C11" s="3">
        <v>75.099999999999994</v>
      </c>
      <c r="D11" s="3">
        <v>9.6999999999999993</v>
      </c>
    </row>
    <row r="12" spans="1:4" ht="16" x14ac:dyDescent="0.2">
      <c r="A12" s="2" t="s">
        <v>17</v>
      </c>
      <c r="B12" s="3">
        <v>1011</v>
      </c>
      <c r="C12" s="3">
        <v>78.3</v>
      </c>
      <c r="D12" s="3">
        <v>9.1999999999999993</v>
      </c>
    </row>
    <row r="13" spans="1:4" ht="16" x14ac:dyDescent="0.2">
      <c r="A13" s="2" t="s">
        <v>18</v>
      </c>
      <c r="B13" s="3">
        <v>1011</v>
      </c>
      <c r="C13" s="3">
        <v>84</v>
      </c>
      <c r="D13" s="3">
        <v>7</v>
      </c>
    </row>
    <row r="14" spans="1:4" ht="16" x14ac:dyDescent="0.2">
      <c r="A14" s="2" t="s">
        <v>19</v>
      </c>
      <c r="B14" s="3">
        <v>989</v>
      </c>
      <c r="C14" s="3">
        <v>78.3</v>
      </c>
      <c r="D14" s="3">
        <v>9.3000000000000007</v>
      </c>
    </row>
    <row r="15" spans="1:4" ht="16" x14ac:dyDescent="0.2">
      <c r="A15" s="2" t="s">
        <v>20</v>
      </c>
      <c r="B15" s="3">
        <v>986</v>
      </c>
      <c r="C15" s="3">
        <v>71.8</v>
      </c>
      <c r="D15" s="3">
        <v>10.3</v>
      </c>
    </row>
    <row r="16" spans="1:4" ht="16" x14ac:dyDescent="0.2">
      <c r="A16" s="2" t="s">
        <v>21</v>
      </c>
      <c r="B16" s="3">
        <v>970</v>
      </c>
      <c r="C16" s="3">
        <v>68.3</v>
      </c>
      <c r="D16" s="3">
        <v>8.4</v>
      </c>
    </row>
    <row r="17" spans="1:4" ht="16" x14ac:dyDescent="0.2">
      <c r="A17" s="2" t="s">
        <v>22</v>
      </c>
      <c r="B17" s="3">
        <v>957</v>
      </c>
      <c r="C17" s="3">
        <v>66.599999999999994</v>
      </c>
      <c r="D17" s="3">
        <v>9.1</v>
      </c>
    </row>
    <row r="18" spans="1:4" ht="16" x14ac:dyDescent="0.2">
      <c r="A18" s="2" t="s">
        <v>23</v>
      </c>
      <c r="B18" s="3">
        <v>948</v>
      </c>
      <c r="C18" s="3">
        <v>71.2</v>
      </c>
      <c r="D18" s="3">
        <v>10.199999999999999</v>
      </c>
    </row>
    <row r="19" spans="1:4" ht="16" x14ac:dyDescent="0.2">
      <c r="A19" s="2" t="s">
        <v>24</v>
      </c>
      <c r="B19" s="3">
        <v>920</v>
      </c>
      <c r="C19" s="3">
        <v>69.5</v>
      </c>
      <c r="D19" s="3">
        <v>9.3000000000000007</v>
      </c>
    </row>
    <row r="20" spans="1:4" ht="16" x14ac:dyDescent="0.2">
      <c r="A20" s="2" t="s">
        <v>25</v>
      </c>
      <c r="B20" s="3">
        <v>889</v>
      </c>
      <c r="C20" s="3">
        <v>65.099999999999994</v>
      </c>
      <c r="D20" s="3">
        <v>8.6999999999999993</v>
      </c>
    </row>
    <row r="21" spans="1:4" ht="16" x14ac:dyDescent="0.2">
      <c r="A21" s="2" t="s">
        <v>26</v>
      </c>
      <c r="B21" s="3">
        <v>888</v>
      </c>
      <c r="C21" s="3">
        <v>68.599999999999994</v>
      </c>
      <c r="D21" s="3">
        <v>8.3000000000000007</v>
      </c>
    </row>
    <row r="22" spans="1:4" ht="16" x14ac:dyDescent="0.2">
      <c r="A22" s="2" t="s">
        <v>27</v>
      </c>
      <c r="B22" s="3">
        <v>886</v>
      </c>
      <c r="C22" s="3">
        <v>68.3</v>
      </c>
      <c r="D22" s="3">
        <v>9.9</v>
      </c>
    </row>
    <row r="23" spans="1:4" ht="16" x14ac:dyDescent="0.2">
      <c r="A23" s="2" t="s">
        <v>28</v>
      </c>
      <c r="B23" s="3">
        <v>867</v>
      </c>
      <c r="C23" s="3">
        <v>60.2</v>
      </c>
      <c r="D23" s="3">
        <v>14.5</v>
      </c>
    </row>
    <row r="24" spans="1:4" ht="16" x14ac:dyDescent="0.2">
      <c r="A24" s="2" t="s">
        <v>29</v>
      </c>
      <c r="B24" s="3">
        <v>832</v>
      </c>
      <c r="C24" s="3">
        <v>69.8</v>
      </c>
      <c r="D24" s="3">
        <v>15.7</v>
      </c>
    </row>
    <row r="25" spans="1:4" ht="16" x14ac:dyDescent="0.2">
      <c r="A25" s="2" t="s">
        <v>30</v>
      </c>
      <c r="B25" s="3">
        <v>812</v>
      </c>
      <c r="C25" s="3">
        <v>64.8</v>
      </c>
      <c r="D25" s="3">
        <v>9.6</v>
      </c>
    </row>
    <row r="26" spans="1:4" ht="16" x14ac:dyDescent="0.2">
      <c r="A26" s="2" t="s">
        <v>31</v>
      </c>
      <c r="B26" s="3">
        <v>791</v>
      </c>
      <c r="C26" s="3">
        <v>59.4</v>
      </c>
      <c r="D26" s="3">
        <v>12.6</v>
      </c>
    </row>
    <row r="27" spans="1:4" ht="16" x14ac:dyDescent="0.2">
      <c r="A27" s="2" t="s">
        <v>32</v>
      </c>
      <c r="B27" s="3">
        <v>763</v>
      </c>
      <c r="C27" s="3">
        <v>63</v>
      </c>
      <c r="D27" s="3">
        <v>8.3000000000000007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3CE0-0B71-4539-9C6D-B609D5C71B6F}">
  <dimension ref="A1:C7"/>
  <sheetViews>
    <sheetView workbookViewId="0">
      <selection sqref="A1:C1048576"/>
    </sheetView>
  </sheetViews>
  <sheetFormatPr baseColWidth="10" defaultColWidth="8.83203125" defaultRowHeight="15" x14ac:dyDescent="0.2"/>
  <cols>
    <col min="1" max="1" width="9.6640625" style="1" customWidth="1"/>
    <col min="2" max="3" width="11.1640625" style="16" customWidth="1"/>
  </cols>
  <sheetData>
    <row r="1" spans="1:3" ht="16" x14ac:dyDescent="0.2">
      <c r="A1" s="1" t="s">
        <v>246</v>
      </c>
      <c r="B1" s="15" t="s">
        <v>231</v>
      </c>
      <c r="C1" s="15" t="s">
        <v>232</v>
      </c>
    </row>
    <row r="2" spans="1:3" x14ac:dyDescent="0.2">
      <c r="A2" s="1">
        <v>1</v>
      </c>
      <c r="B2" s="16">
        <v>158</v>
      </c>
      <c r="C2" s="16">
        <v>151</v>
      </c>
    </row>
    <row r="3" spans="1:3" x14ac:dyDescent="0.2">
      <c r="A3" s="1">
        <v>2</v>
      </c>
      <c r="B3" s="16">
        <v>205</v>
      </c>
      <c r="C3" s="16">
        <v>200</v>
      </c>
    </row>
    <row r="4" spans="1:3" x14ac:dyDescent="0.2">
      <c r="A4" s="1">
        <v>3</v>
      </c>
      <c r="B4" s="16">
        <v>170</v>
      </c>
      <c r="C4" s="16">
        <v>169</v>
      </c>
    </row>
    <row r="5" spans="1:3" x14ac:dyDescent="0.2">
      <c r="A5" s="1">
        <v>4</v>
      </c>
      <c r="B5" s="16">
        <v>189</v>
      </c>
      <c r="C5" s="16">
        <v>179</v>
      </c>
    </row>
    <row r="6" spans="1:3" x14ac:dyDescent="0.2">
      <c r="A6" s="1">
        <v>5</v>
      </c>
      <c r="B6" s="16">
        <v>149</v>
      </c>
      <c r="C6" s="16">
        <v>144</v>
      </c>
    </row>
    <row r="7" spans="1:3" x14ac:dyDescent="0.2">
      <c r="A7" s="1">
        <v>6</v>
      </c>
      <c r="B7" s="16">
        <v>135</v>
      </c>
      <c r="C7" s="16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0474-F03C-4B4F-8928-007F3E2D3C13}">
  <dimension ref="A1:B31"/>
  <sheetViews>
    <sheetView workbookViewId="0">
      <selection sqref="A1:B1048576"/>
    </sheetView>
  </sheetViews>
  <sheetFormatPr baseColWidth="10" defaultColWidth="8.83203125" defaultRowHeight="15" x14ac:dyDescent="0.2"/>
  <cols>
    <col min="1" max="1" width="12.5" style="1" customWidth="1"/>
    <col min="2" max="2" width="11.83203125" style="1" bestFit="1" customWidth="1"/>
  </cols>
  <sheetData>
    <row r="1" spans="1:2" x14ac:dyDescent="0.2">
      <c r="A1" s="2" t="s">
        <v>220</v>
      </c>
      <c r="B1" s="2" t="s">
        <v>221</v>
      </c>
    </row>
    <row r="2" spans="1:2" x14ac:dyDescent="0.2">
      <c r="A2" s="13">
        <v>9.5</v>
      </c>
      <c r="B2" s="13">
        <v>6.5</v>
      </c>
    </row>
    <row r="3" spans="1:2" x14ac:dyDescent="0.2">
      <c r="A3" s="13">
        <v>8.1</v>
      </c>
      <c r="B3" s="13">
        <v>5.8</v>
      </c>
    </row>
    <row r="4" spans="1:2" x14ac:dyDescent="0.2">
      <c r="A4" s="13">
        <v>10.4</v>
      </c>
      <c r="B4" s="13">
        <v>9.9</v>
      </c>
    </row>
    <row r="5" spans="1:2" x14ac:dyDescent="0.2">
      <c r="A5" s="13">
        <v>11.9</v>
      </c>
      <c r="B5" s="13">
        <v>5.0999999999999996</v>
      </c>
    </row>
    <row r="6" spans="1:2" x14ac:dyDescent="0.2">
      <c r="A6" s="13">
        <v>11.8</v>
      </c>
      <c r="B6" s="13">
        <v>8</v>
      </c>
    </row>
    <row r="7" spans="1:2" x14ac:dyDescent="0.2">
      <c r="A7" s="13">
        <v>12.6</v>
      </c>
      <c r="B7" s="13">
        <v>6.3</v>
      </c>
    </row>
    <row r="8" spans="1:2" x14ac:dyDescent="0.2">
      <c r="A8" s="13">
        <v>6.7</v>
      </c>
      <c r="B8" s="13">
        <v>6.3</v>
      </c>
    </row>
    <row r="9" spans="1:2" x14ac:dyDescent="0.2">
      <c r="A9" s="13">
        <v>9.6</v>
      </c>
      <c r="B9" s="13">
        <v>4.4000000000000004</v>
      </c>
    </row>
    <row r="10" spans="1:2" x14ac:dyDescent="0.2">
      <c r="A10" s="13">
        <v>11.6</v>
      </c>
      <c r="B10" s="13">
        <v>5.7</v>
      </c>
    </row>
    <row r="11" spans="1:2" x14ac:dyDescent="0.2">
      <c r="A11" s="13">
        <v>8.4</v>
      </c>
      <c r="B11" s="13">
        <v>5.9</v>
      </c>
    </row>
    <row r="12" spans="1:2" x14ac:dyDescent="0.2">
      <c r="A12" s="13">
        <v>9</v>
      </c>
      <c r="B12" s="13">
        <v>6.8</v>
      </c>
    </row>
    <row r="13" spans="1:2" x14ac:dyDescent="0.2">
      <c r="A13" s="13">
        <v>7.5</v>
      </c>
      <c r="B13" s="13">
        <v>5.0999999999999996</v>
      </c>
    </row>
    <row r="14" spans="1:2" x14ac:dyDescent="0.2">
      <c r="A14" s="13">
        <v>7.2</v>
      </c>
      <c r="B14" s="13">
        <v>6.3</v>
      </c>
    </row>
    <row r="15" spans="1:2" x14ac:dyDescent="0.2">
      <c r="A15" s="13">
        <v>8.5</v>
      </c>
      <c r="B15" s="13">
        <v>5.5</v>
      </c>
    </row>
    <row r="16" spans="1:2" x14ac:dyDescent="0.2">
      <c r="A16" s="13">
        <v>8.8000000000000007</v>
      </c>
      <c r="B16" s="13">
        <v>5.5</v>
      </c>
    </row>
    <row r="17" spans="1:2" x14ac:dyDescent="0.2">
      <c r="A17" s="13">
        <v>6.8</v>
      </c>
      <c r="B17" s="13">
        <v>5.9</v>
      </c>
    </row>
    <row r="18" spans="1:2" x14ac:dyDescent="0.2">
      <c r="A18" s="13">
        <v>9.1</v>
      </c>
      <c r="B18" s="13">
        <v>6.9</v>
      </c>
    </row>
    <row r="19" spans="1:2" x14ac:dyDescent="0.2">
      <c r="A19" s="13">
        <v>9.4</v>
      </c>
      <c r="B19" s="13">
        <v>9.1</v>
      </c>
    </row>
    <row r="20" spans="1:2" x14ac:dyDescent="0.2">
      <c r="A20" s="13">
        <v>10.199999999999999</v>
      </c>
      <c r="B20" s="13">
        <v>8</v>
      </c>
    </row>
    <row r="21" spans="1:2" x14ac:dyDescent="0.2">
      <c r="A21" s="13">
        <v>9.5</v>
      </c>
      <c r="B21" s="13">
        <v>8.9</v>
      </c>
    </row>
    <row r="22" spans="1:2" x14ac:dyDescent="0.2">
      <c r="A22" s="13">
        <v>9.5</v>
      </c>
      <c r="B22" s="13">
        <v>3.4</v>
      </c>
    </row>
    <row r="23" spans="1:2" x14ac:dyDescent="0.2">
      <c r="A23" s="13">
        <v>9.4</v>
      </c>
      <c r="B23" s="13">
        <v>4.5999999999999996</v>
      </c>
    </row>
    <row r="24" spans="1:2" x14ac:dyDescent="0.2">
      <c r="A24" s="13">
        <v>12</v>
      </c>
      <c r="B24" s="13">
        <v>6.2</v>
      </c>
    </row>
    <row r="25" spans="1:2" x14ac:dyDescent="0.2">
      <c r="A25" s="13">
        <v>9.9</v>
      </c>
      <c r="B25" s="13">
        <v>4.5999999999999996</v>
      </c>
    </row>
    <row r="26" spans="1:2" x14ac:dyDescent="0.2">
      <c r="A26" s="13">
        <v>9.6999999999999993</v>
      </c>
      <c r="B26" s="13">
        <v>6.7</v>
      </c>
    </row>
    <row r="27" spans="1:2" x14ac:dyDescent="0.2">
      <c r="A27" s="13">
        <v>9.1999999999999993</v>
      </c>
      <c r="B27" s="13">
        <v>4.5999999999999996</v>
      </c>
    </row>
    <row r="28" spans="1:2" x14ac:dyDescent="0.2">
      <c r="A28" s="13">
        <v>13</v>
      </c>
      <c r="B28" s="13">
        <v>7.1</v>
      </c>
    </row>
    <row r="29" spans="1:2" x14ac:dyDescent="0.2">
      <c r="A29" s="13">
        <v>11.3</v>
      </c>
      <c r="B29" s="13">
        <v>11</v>
      </c>
    </row>
    <row r="30" spans="1:2" x14ac:dyDescent="0.2">
      <c r="A30" s="13">
        <v>13.6</v>
      </c>
      <c r="B30" s="13">
        <v>4.5</v>
      </c>
    </row>
    <row r="31" spans="1:2" x14ac:dyDescent="0.2">
      <c r="A31" s="13">
        <v>9</v>
      </c>
      <c r="B31" s="13">
        <v>3.9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>
      <selection sqref="A1:B1048576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x14ac:dyDescent="0.2">
      <c r="A2" s="1">
        <v>85</v>
      </c>
      <c r="B2" s="1">
        <v>48</v>
      </c>
    </row>
    <row r="3" spans="1:2" x14ac:dyDescent="0.2">
      <c r="A3" s="1">
        <v>78</v>
      </c>
      <c r="B3" s="1">
        <v>79</v>
      </c>
    </row>
    <row r="4" spans="1:2" x14ac:dyDescent="0.2">
      <c r="A4" s="1">
        <v>88</v>
      </c>
      <c r="B4" s="1">
        <v>49</v>
      </c>
    </row>
    <row r="5" spans="1:2" x14ac:dyDescent="0.2">
      <c r="A5" s="1">
        <v>78</v>
      </c>
      <c r="B5" s="1">
        <v>43</v>
      </c>
    </row>
    <row r="6" spans="1:2" x14ac:dyDescent="0.2">
      <c r="A6" s="1">
        <v>70</v>
      </c>
      <c r="B6" s="1">
        <v>56</v>
      </c>
    </row>
    <row r="7" spans="1:2" x14ac:dyDescent="0.2">
      <c r="A7" s="1">
        <v>74</v>
      </c>
      <c r="B7" s="1">
        <v>72</v>
      </c>
    </row>
    <row r="8" spans="1:2" x14ac:dyDescent="0.2">
      <c r="A8" s="1">
        <v>65</v>
      </c>
      <c r="B8" s="1">
        <v>67</v>
      </c>
    </row>
    <row r="9" spans="1:2" x14ac:dyDescent="0.2">
      <c r="A9" s="1">
        <v>81</v>
      </c>
      <c r="B9" s="1">
        <v>84</v>
      </c>
    </row>
    <row r="10" spans="1:2" x14ac:dyDescent="0.2">
      <c r="A10" s="1">
        <v>80</v>
      </c>
      <c r="B10" s="1">
        <v>75</v>
      </c>
    </row>
    <row r="11" spans="1:2" x14ac:dyDescent="0.2">
      <c r="A11" s="1">
        <v>66</v>
      </c>
      <c r="B11" s="1">
        <v>74</v>
      </c>
    </row>
    <row r="12" spans="1:2" x14ac:dyDescent="0.2">
      <c r="A12" s="1">
        <v>70</v>
      </c>
      <c r="B12" s="1">
        <v>100</v>
      </c>
    </row>
    <row r="13" spans="1:2" x14ac:dyDescent="0.2">
      <c r="A13" s="1">
        <v>88</v>
      </c>
      <c r="B13" s="1">
        <v>81</v>
      </c>
    </row>
    <row r="14" spans="1:2" x14ac:dyDescent="0.2">
      <c r="A14" s="1">
        <v>80</v>
      </c>
      <c r="B14" s="1">
        <v>84</v>
      </c>
    </row>
    <row r="15" spans="1:2" x14ac:dyDescent="0.2">
      <c r="A15" s="1">
        <v>91</v>
      </c>
      <c r="B15" s="1">
        <v>75</v>
      </c>
    </row>
    <row r="16" spans="1:2" x14ac:dyDescent="0.2">
      <c r="A16" s="1">
        <v>64</v>
      </c>
      <c r="B16" s="1">
        <v>72</v>
      </c>
    </row>
    <row r="17" spans="1:2" x14ac:dyDescent="0.2">
      <c r="A17" s="1">
        <v>63</v>
      </c>
      <c r="B17" s="1">
        <v>64</v>
      </c>
    </row>
    <row r="18" spans="1:2" x14ac:dyDescent="0.2">
      <c r="A18" s="1">
        <v>76</v>
      </c>
      <c r="B18" s="1">
        <v>75</v>
      </c>
    </row>
    <row r="19" spans="1:2" x14ac:dyDescent="0.2">
      <c r="A19" s="1">
        <v>51</v>
      </c>
      <c r="B19" s="1">
        <v>72</v>
      </c>
    </row>
    <row r="20" spans="1:2" x14ac:dyDescent="0.2">
      <c r="A20" s="1">
        <v>63</v>
      </c>
      <c r="B20" s="1">
        <v>78</v>
      </c>
    </row>
    <row r="21" spans="1:2" x14ac:dyDescent="0.2">
      <c r="A21" s="1">
        <v>60</v>
      </c>
      <c r="B21" s="1">
        <v>86</v>
      </c>
    </row>
    <row r="22" spans="1:2" x14ac:dyDescent="0.2">
      <c r="A22" s="1">
        <v>71</v>
      </c>
      <c r="B22" s="1">
        <v>70</v>
      </c>
    </row>
    <row r="23" spans="1:2" x14ac:dyDescent="0.2">
      <c r="A23" s="1">
        <v>76</v>
      </c>
      <c r="B23" s="1">
        <v>62</v>
      </c>
    </row>
    <row r="24" spans="1:2" x14ac:dyDescent="0.2">
      <c r="A24" s="1">
        <v>69</v>
      </c>
      <c r="B24" s="1">
        <v>96</v>
      </c>
    </row>
    <row r="25" spans="1:2" x14ac:dyDescent="0.2">
      <c r="A25" s="1">
        <v>71</v>
      </c>
      <c r="B25" s="1">
        <v>64</v>
      </c>
    </row>
    <row r="26" spans="1:2" x14ac:dyDescent="0.2">
      <c r="A26" s="1">
        <v>66</v>
      </c>
      <c r="B26" s="1">
        <v>51</v>
      </c>
    </row>
    <row r="27" spans="1:2" x14ac:dyDescent="0.2">
      <c r="A27" s="1">
        <v>65</v>
      </c>
      <c r="B27" s="1">
        <v>91</v>
      </c>
    </row>
    <row r="28" spans="1:2" x14ac:dyDescent="0.2">
      <c r="A28" s="1">
        <v>82</v>
      </c>
      <c r="B28" s="1">
        <v>69</v>
      </c>
    </row>
    <row r="29" spans="1:2" x14ac:dyDescent="0.2">
      <c r="A29" s="1">
        <v>53</v>
      </c>
      <c r="B29" s="1">
        <v>76</v>
      </c>
    </row>
    <row r="30" spans="1:2" x14ac:dyDescent="0.2">
      <c r="A30" s="1">
        <v>75</v>
      </c>
      <c r="B30" s="1">
        <v>59</v>
      </c>
    </row>
    <row r="31" spans="1:2" x14ac:dyDescent="0.2">
      <c r="A31" s="1">
        <v>59</v>
      </c>
      <c r="B31" s="1">
        <v>59</v>
      </c>
    </row>
    <row r="32" spans="1:2" x14ac:dyDescent="0.2">
      <c r="A32" s="1">
        <v>72</v>
      </c>
      <c r="B32" s="1">
        <v>77</v>
      </c>
    </row>
    <row r="33" spans="1:2" x14ac:dyDescent="0.2">
      <c r="A33" s="1">
        <v>82</v>
      </c>
      <c r="B33" s="1">
        <v>52</v>
      </c>
    </row>
    <row r="34" spans="1:2" x14ac:dyDescent="0.2">
      <c r="A34" s="1">
        <v>69</v>
      </c>
      <c r="B34" s="1">
        <v>60</v>
      </c>
    </row>
    <row r="35" spans="1:2" x14ac:dyDescent="0.2">
      <c r="A35" s="1">
        <v>56</v>
      </c>
      <c r="B35" s="1">
        <v>67</v>
      </c>
    </row>
    <row r="36" spans="1:2" x14ac:dyDescent="0.2">
      <c r="A36" s="1">
        <v>79</v>
      </c>
      <c r="B36" s="1">
        <v>70</v>
      </c>
    </row>
    <row r="37" spans="1:2" x14ac:dyDescent="0.2">
      <c r="A37" s="1">
        <v>64</v>
      </c>
      <c r="B37" s="1">
        <v>60</v>
      </c>
    </row>
    <row r="38" spans="1:2" x14ac:dyDescent="0.2">
      <c r="A38" s="1">
        <v>82</v>
      </c>
      <c r="B38" s="1">
        <v>73</v>
      </c>
    </row>
    <row r="39" spans="1:2" x14ac:dyDescent="0.2">
      <c r="A39" s="1">
        <v>65</v>
      </c>
      <c r="B39" s="1">
        <v>92</v>
      </c>
    </row>
    <row r="40" spans="1:2" x14ac:dyDescent="0.2">
      <c r="A40" s="1">
        <v>71</v>
      </c>
      <c r="B40" s="1">
        <v>60</v>
      </c>
    </row>
    <row r="41" spans="1:2" x14ac:dyDescent="0.2">
      <c r="A41" s="1">
        <v>75</v>
      </c>
      <c r="B41" s="1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topLeftCell="A5" workbookViewId="0">
      <selection activeCell="C18" sqref="C18"/>
    </sheetView>
  </sheetViews>
  <sheetFormatPr baseColWidth="10" defaultColWidth="8.83203125" defaultRowHeight="15" x14ac:dyDescent="0.2"/>
  <sheetData>
    <row r="1" spans="1:3" x14ac:dyDescent="0.2">
      <c r="A1" s="1" t="s">
        <v>190</v>
      </c>
      <c r="B1" s="1" t="s">
        <v>191</v>
      </c>
      <c r="C1" s="1" t="s">
        <v>192</v>
      </c>
    </row>
    <row r="2" spans="1:3" x14ac:dyDescent="0.2">
      <c r="A2" s="1">
        <v>2001</v>
      </c>
      <c r="B2" s="1">
        <v>22.82</v>
      </c>
      <c r="C2" s="1">
        <v>24.99</v>
      </c>
    </row>
    <row r="3" spans="1:3" x14ac:dyDescent="0.2">
      <c r="A3" s="1">
        <v>2002</v>
      </c>
      <c r="B3" s="1">
        <v>-6.48</v>
      </c>
      <c r="C3" s="1">
        <v>64.28</v>
      </c>
    </row>
    <row r="4" spans="1:3" x14ac:dyDescent="0.2">
      <c r="A4" s="1">
        <v>2003</v>
      </c>
      <c r="B4" s="1">
        <v>43.53</v>
      </c>
      <c r="C4" s="1">
        <v>32.090000000000003</v>
      </c>
    </row>
    <row r="5" spans="1:3" x14ac:dyDescent="0.2">
      <c r="A5" s="1">
        <v>2004</v>
      </c>
      <c r="B5" s="1">
        <v>7.11</v>
      </c>
      <c r="C5" s="1">
        <v>-9.7899999999999991</v>
      </c>
    </row>
    <row r="6" spans="1:3" x14ac:dyDescent="0.2">
      <c r="A6" s="1">
        <v>2005</v>
      </c>
      <c r="B6" s="1">
        <v>-1.75</v>
      </c>
      <c r="C6" s="1">
        <v>40.700000000000003</v>
      </c>
    </row>
    <row r="7" spans="1:3" x14ac:dyDescent="0.2">
      <c r="A7" s="1">
        <v>2006</v>
      </c>
      <c r="B7" s="1">
        <v>13.33</v>
      </c>
      <c r="C7" s="1">
        <v>25.43</v>
      </c>
    </row>
    <row r="8" spans="1:3" x14ac:dyDescent="0.2">
      <c r="A8" s="1">
        <v>2007</v>
      </c>
      <c r="B8" s="1">
        <v>0.01</v>
      </c>
      <c r="C8" s="1">
        <v>24.93</v>
      </c>
    </row>
    <row r="9" spans="1:3" x14ac:dyDescent="0.2">
      <c r="A9" s="1">
        <v>2008</v>
      </c>
      <c r="B9" s="1">
        <v>-61.2</v>
      </c>
      <c r="C9" s="1">
        <v>-20.49</v>
      </c>
    </row>
    <row r="10" spans="1:3" x14ac:dyDescent="0.2">
      <c r="A10" s="1">
        <v>2009</v>
      </c>
      <c r="B10" s="1">
        <v>122.28</v>
      </c>
      <c r="C10" s="1">
        <v>38</v>
      </c>
    </row>
    <row r="11" spans="1:3" x14ac:dyDescent="0.2">
      <c r="A11" s="1">
        <v>2010</v>
      </c>
      <c r="B11" s="9">
        <v>46.18</v>
      </c>
      <c r="C11" s="9">
        <v>35.25</v>
      </c>
    </row>
    <row r="12" spans="1:3" x14ac:dyDescent="0.2">
      <c r="A12" s="1">
        <v>2011</v>
      </c>
      <c r="B12" s="9">
        <v>-26.16</v>
      </c>
      <c r="C12" s="9">
        <v>-16.34</v>
      </c>
    </row>
    <row r="13" spans="1:3" x14ac:dyDescent="0.2">
      <c r="A13" s="1">
        <v>2012</v>
      </c>
      <c r="B13" s="9">
        <v>26.17</v>
      </c>
      <c r="C13" s="9">
        <v>-12.43</v>
      </c>
    </row>
    <row r="14" spans="1:3" x14ac:dyDescent="0.2">
      <c r="A14" s="1">
        <v>2013</v>
      </c>
      <c r="B14" s="9">
        <v>46.67</v>
      </c>
      <c r="C14" s="9">
        <v>-51.41</v>
      </c>
    </row>
    <row r="15" spans="1:3" x14ac:dyDescent="0.2">
      <c r="A15" s="1">
        <v>2014</v>
      </c>
      <c r="B15" s="9">
        <v>2.79</v>
      </c>
      <c r="C15" s="9">
        <v>-8.51</v>
      </c>
    </row>
    <row r="16" spans="1:3" x14ac:dyDescent="0.2">
      <c r="A16" s="1">
        <v>2015</v>
      </c>
      <c r="B16" s="9">
        <v>0.17</v>
      </c>
      <c r="C16" s="9">
        <v>-17.88</v>
      </c>
    </row>
    <row r="17" spans="1:3" x14ac:dyDescent="0.2">
      <c r="A17" s="1">
        <v>2016</v>
      </c>
      <c r="B17" s="9">
        <v>-5.83</v>
      </c>
      <c r="C17" s="9">
        <v>47.28</v>
      </c>
    </row>
    <row r="18" spans="1:3" x14ac:dyDescent="0.2">
      <c r="A18" s="1">
        <v>2017</v>
      </c>
      <c r="B18" s="9">
        <v>23.95</v>
      </c>
      <c r="C18" s="9">
        <v>8.6300000000000008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>
      <selection activeCell="H10" sqref="H10"/>
    </sheetView>
  </sheetViews>
  <sheetFormatPr baseColWidth="10" defaultColWidth="8.83203125" defaultRowHeight="15" x14ac:dyDescent="0.2"/>
  <cols>
    <col min="2" max="2" width="13.5" customWidth="1"/>
  </cols>
  <sheetData>
    <row r="1" spans="1:3" x14ac:dyDescent="0.2">
      <c r="A1" t="s">
        <v>193</v>
      </c>
      <c r="B1" t="s">
        <v>194</v>
      </c>
      <c r="C1" s="1" t="s">
        <v>211</v>
      </c>
    </row>
    <row r="2" spans="1:3" x14ac:dyDescent="0.2">
      <c r="A2">
        <v>1</v>
      </c>
      <c r="B2" t="s">
        <v>195</v>
      </c>
      <c r="C2" s="1" t="s">
        <v>187</v>
      </c>
    </row>
    <row r="3" spans="1:3" x14ac:dyDescent="0.2">
      <c r="A3">
        <v>2</v>
      </c>
      <c r="B3" t="s">
        <v>196</v>
      </c>
      <c r="C3" s="1" t="s">
        <v>185</v>
      </c>
    </row>
    <row r="4" spans="1:3" x14ac:dyDescent="0.2">
      <c r="A4">
        <v>3</v>
      </c>
      <c r="B4" t="s">
        <v>195</v>
      </c>
      <c r="C4" s="1" t="s">
        <v>185</v>
      </c>
    </row>
    <row r="5" spans="1:3" x14ac:dyDescent="0.2">
      <c r="A5">
        <v>4</v>
      </c>
      <c r="B5" t="s">
        <v>197</v>
      </c>
      <c r="C5" s="1" t="s">
        <v>185</v>
      </c>
    </row>
    <row r="6" spans="1:3" x14ac:dyDescent="0.2">
      <c r="A6">
        <v>5</v>
      </c>
      <c r="B6" t="s">
        <v>197</v>
      </c>
      <c r="C6" s="1" t="s">
        <v>187</v>
      </c>
    </row>
    <row r="7" spans="1:3" x14ac:dyDescent="0.2">
      <c r="A7">
        <v>6</v>
      </c>
      <c r="B7" t="s">
        <v>196</v>
      </c>
      <c r="C7" s="1" t="s">
        <v>185</v>
      </c>
    </row>
    <row r="8" spans="1:3" x14ac:dyDescent="0.2">
      <c r="A8">
        <v>7</v>
      </c>
      <c r="B8" t="s">
        <v>195</v>
      </c>
      <c r="C8" s="1" t="s">
        <v>187</v>
      </c>
    </row>
    <row r="9" spans="1:3" x14ac:dyDescent="0.2">
      <c r="A9">
        <v>8</v>
      </c>
      <c r="B9" t="s">
        <v>197</v>
      </c>
      <c r="C9" s="1" t="s">
        <v>187</v>
      </c>
    </row>
    <row r="10" spans="1:3" x14ac:dyDescent="0.2">
      <c r="A10">
        <v>9</v>
      </c>
      <c r="B10" t="s">
        <v>197</v>
      </c>
      <c r="C10" s="1" t="s">
        <v>187</v>
      </c>
    </row>
    <row r="11" spans="1:3" x14ac:dyDescent="0.2">
      <c r="A11">
        <v>10</v>
      </c>
      <c r="B11" t="s">
        <v>195</v>
      </c>
      <c r="C11" s="1" t="s">
        <v>185</v>
      </c>
    </row>
    <row r="12" spans="1:3" x14ac:dyDescent="0.2">
      <c r="A12">
        <v>11</v>
      </c>
      <c r="B12" t="s">
        <v>196</v>
      </c>
      <c r="C12" s="1" t="s">
        <v>185</v>
      </c>
    </row>
    <row r="13" spans="1:3" x14ac:dyDescent="0.2">
      <c r="A13">
        <v>12</v>
      </c>
      <c r="B13" t="s">
        <v>196</v>
      </c>
      <c r="C13" s="1" t="s">
        <v>187</v>
      </c>
    </row>
    <row r="14" spans="1:3" x14ac:dyDescent="0.2">
      <c r="A14">
        <v>13</v>
      </c>
      <c r="B14" t="s">
        <v>195</v>
      </c>
      <c r="C14" s="1" t="s">
        <v>187</v>
      </c>
    </row>
    <row r="15" spans="1:3" x14ac:dyDescent="0.2">
      <c r="A15">
        <v>14</v>
      </c>
      <c r="B15" t="s">
        <v>195</v>
      </c>
      <c r="C15" s="1" t="s">
        <v>185</v>
      </c>
    </row>
    <row r="16" spans="1:3" x14ac:dyDescent="0.2">
      <c r="A16">
        <v>15</v>
      </c>
      <c r="B16" t="s">
        <v>197</v>
      </c>
      <c r="C16" s="1" t="s">
        <v>187</v>
      </c>
    </row>
    <row r="17" spans="1:3" x14ac:dyDescent="0.2">
      <c r="A17">
        <v>16</v>
      </c>
      <c r="B17" t="s">
        <v>195</v>
      </c>
      <c r="C17" s="1" t="s">
        <v>185</v>
      </c>
    </row>
    <row r="18" spans="1:3" x14ac:dyDescent="0.2">
      <c r="A18">
        <v>17</v>
      </c>
      <c r="B18" t="s">
        <v>197</v>
      </c>
      <c r="C18" s="1" t="s">
        <v>187</v>
      </c>
    </row>
    <row r="19" spans="1:3" x14ac:dyDescent="0.2">
      <c r="A19">
        <v>18</v>
      </c>
      <c r="B19" t="s">
        <v>197</v>
      </c>
      <c r="C19" s="1" t="s">
        <v>185</v>
      </c>
    </row>
    <row r="20" spans="1:3" x14ac:dyDescent="0.2">
      <c r="A20">
        <v>19</v>
      </c>
      <c r="B20" t="s">
        <v>197</v>
      </c>
      <c r="C20" s="1" t="s">
        <v>185</v>
      </c>
    </row>
    <row r="21" spans="1:3" x14ac:dyDescent="0.2">
      <c r="A21">
        <v>20</v>
      </c>
      <c r="B21" t="s">
        <v>195</v>
      </c>
      <c r="C21" s="1" t="s">
        <v>185</v>
      </c>
    </row>
    <row r="22" spans="1:3" x14ac:dyDescent="0.2">
      <c r="A22">
        <v>21</v>
      </c>
      <c r="B22" t="s">
        <v>196</v>
      </c>
      <c r="C22" s="1" t="s">
        <v>187</v>
      </c>
    </row>
    <row r="23" spans="1:3" x14ac:dyDescent="0.2">
      <c r="A23">
        <v>22</v>
      </c>
      <c r="B23" t="s">
        <v>195</v>
      </c>
      <c r="C23" s="1" t="s">
        <v>187</v>
      </c>
    </row>
    <row r="24" spans="1:3" x14ac:dyDescent="0.2">
      <c r="A24">
        <v>23</v>
      </c>
      <c r="B24" t="s">
        <v>195</v>
      </c>
      <c r="C24" s="1" t="s">
        <v>185</v>
      </c>
    </row>
    <row r="25" spans="1:3" x14ac:dyDescent="0.2">
      <c r="A25">
        <v>24</v>
      </c>
      <c r="B25" t="s">
        <v>196</v>
      </c>
      <c r="C25" s="1" t="s">
        <v>187</v>
      </c>
    </row>
    <row r="26" spans="1:3" x14ac:dyDescent="0.2">
      <c r="A26">
        <v>25</v>
      </c>
      <c r="B26" t="s">
        <v>196</v>
      </c>
      <c r="C26" s="1" t="s">
        <v>187</v>
      </c>
    </row>
    <row r="27" spans="1:3" x14ac:dyDescent="0.2">
      <c r="A27">
        <v>26</v>
      </c>
      <c r="B27" t="s">
        <v>197</v>
      </c>
      <c r="C27" s="1" t="s">
        <v>187</v>
      </c>
    </row>
    <row r="28" spans="1:3" x14ac:dyDescent="0.2">
      <c r="A28">
        <v>27</v>
      </c>
      <c r="B28" t="s">
        <v>196</v>
      </c>
      <c r="C28" s="1" t="s">
        <v>185</v>
      </c>
    </row>
    <row r="29" spans="1:3" x14ac:dyDescent="0.2">
      <c r="A29">
        <v>28</v>
      </c>
      <c r="B29" t="s">
        <v>197</v>
      </c>
      <c r="C29" s="1" t="s">
        <v>187</v>
      </c>
    </row>
    <row r="30" spans="1:3" x14ac:dyDescent="0.2">
      <c r="A30">
        <v>29</v>
      </c>
      <c r="B30" t="s">
        <v>197</v>
      </c>
      <c r="C30" s="1" t="s">
        <v>187</v>
      </c>
    </row>
    <row r="31" spans="1:3" x14ac:dyDescent="0.2">
      <c r="A31">
        <v>30</v>
      </c>
      <c r="B31" t="s">
        <v>197</v>
      </c>
      <c r="C31" s="1" t="s">
        <v>185</v>
      </c>
    </row>
    <row r="32" spans="1:3" x14ac:dyDescent="0.2">
      <c r="A32">
        <f>A31+1</f>
        <v>31</v>
      </c>
      <c r="B32" t="s">
        <v>195</v>
      </c>
      <c r="C32" s="1" t="s">
        <v>187</v>
      </c>
    </row>
    <row r="33" spans="1:3" x14ac:dyDescent="0.2">
      <c r="A33">
        <f t="shared" ref="A33:A61" si="0">A32+1</f>
        <v>32</v>
      </c>
      <c r="B33" t="s">
        <v>196</v>
      </c>
      <c r="C33" s="1" t="s">
        <v>185</v>
      </c>
    </row>
    <row r="34" spans="1:3" x14ac:dyDescent="0.2">
      <c r="A34">
        <f t="shared" si="0"/>
        <v>33</v>
      </c>
      <c r="B34" t="s">
        <v>195</v>
      </c>
      <c r="C34" s="1" t="s">
        <v>185</v>
      </c>
    </row>
    <row r="35" spans="1:3" x14ac:dyDescent="0.2">
      <c r="A35">
        <f t="shared" si="0"/>
        <v>34</v>
      </c>
      <c r="B35" t="s">
        <v>195</v>
      </c>
      <c r="C35" s="1" t="s">
        <v>185</v>
      </c>
    </row>
    <row r="36" spans="1:3" x14ac:dyDescent="0.2">
      <c r="A36">
        <f t="shared" si="0"/>
        <v>35</v>
      </c>
      <c r="B36" t="s">
        <v>195</v>
      </c>
      <c r="C36" s="1" t="s">
        <v>187</v>
      </c>
    </row>
    <row r="37" spans="1:3" x14ac:dyDescent="0.2">
      <c r="A37">
        <f t="shared" si="0"/>
        <v>36</v>
      </c>
      <c r="B37" t="s">
        <v>196</v>
      </c>
      <c r="C37" s="1" t="s">
        <v>185</v>
      </c>
    </row>
    <row r="38" spans="1:3" x14ac:dyDescent="0.2">
      <c r="A38">
        <f t="shared" si="0"/>
        <v>37</v>
      </c>
      <c r="B38" t="s">
        <v>195</v>
      </c>
      <c r="C38" s="1" t="s">
        <v>187</v>
      </c>
    </row>
    <row r="39" spans="1:3" x14ac:dyDescent="0.2">
      <c r="A39">
        <f t="shared" si="0"/>
        <v>38</v>
      </c>
      <c r="B39" t="s">
        <v>197</v>
      </c>
      <c r="C39" s="1" t="s">
        <v>187</v>
      </c>
    </row>
    <row r="40" spans="1:3" x14ac:dyDescent="0.2">
      <c r="A40">
        <f t="shared" si="0"/>
        <v>39</v>
      </c>
      <c r="B40" t="s">
        <v>197</v>
      </c>
      <c r="C40" s="1" t="s">
        <v>187</v>
      </c>
    </row>
    <row r="41" spans="1:3" x14ac:dyDescent="0.2">
      <c r="A41">
        <f t="shared" si="0"/>
        <v>40</v>
      </c>
      <c r="B41" t="s">
        <v>195</v>
      </c>
      <c r="C41" s="1" t="s">
        <v>185</v>
      </c>
    </row>
    <row r="42" spans="1:3" x14ac:dyDescent="0.2">
      <c r="A42">
        <f t="shared" si="0"/>
        <v>41</v>
      </c>
      <c r="B42" t="s">
        <v>196</v>
      </c>
      <c r="C42" s="1" t="s">
        <v>185</v>
      </c>
    </row>
    <row r="43" spans="1:3" x14ac:dyDescent="0.2">
      <c r="A43">
        <f t="shared" si="0"/>
        <v>42</v>
      </c>
      <c r="B43" t="s">
        <v>196</v>
      </c>
      <c r="C43" s="1" t="s">
        <v>187</v>
      </c>
    </row>
    <row r="44" spans="1:3" x14ac:dyDescent="0.2">
      <c r="A44">
        <f t="shared" si="0"/>
        <v>43</v>
      </c>
      <c r="B44" t="s">
        <v>195</v>
      </c>
      <c r="C44" s="1" t="s">
        <v>187</v>
      </c>
    </row>
    <row r="45" spans="1:3" x14ac:dyDescent="0.2">
      <c r="A45">
        <f t="shared" si="0"/>
        <v>44</v>
      </c>
      <c r="B45" t="s">
        <v>195</v>
      </c>
      <c r="C45" s="1" t="s">
        <v>185</v>
      </c>
    </row>
    <row r="46" spans="1:3" x14ac:dyDescent="0.2">
      <c r="A46">
        <f t="shared" si="0"/>
        <v>45</v>
      </c>
      <c r="B46" t="s">
        <v>197</v>
      </c>
      <c r="C46" s="1" t="s">
        <v>187</v>
      </c>
    </row>
    <row r="47" spans="1:3" x14ac:dyDescent="0.2">
      <c r="A47">
        <f t="shared" si="0"/>
        <v>46</v>
      </c>
      <c r="B47" t="s">
        <v>195</v>
      </c>
      <c r="C47" s="1" t="s">
        <v>185</v>
      </c>
    </row>
    <row r="48" spans="1:3" x14ac:dyDescent="0.2">
      <c r="A48">
        <f t="shared" si="0"/>
        <v>47</v>
      </c>
      <c r="B48" t="s">
        <v>195</v>
      </c>
      <c r="C48" s="1" t="s">
        <v>187</v>
      </c>
    </row>
    <row r="49" spans="1:3" x14ac:dyDescent="0.2">
      <c r="A49">
        <f t="shared" si="0"/>
        <v>48</v>
      </c>
      <c r="B49" t="s">
        <v>195</v>
      </c>
      <c r="C49" s="1" t="s">
        <v>185</v>
      </c>
    </row>
    <row r="50" spans="1:3" x14ac:dyDescent="0.2">
      <c r="A50">
        <f t="shared" si="0"/>
        <v>49</v>
      </c>
      <c r="B50" t="s">
        <v>197</v>
      </c>
      <c r="C50" s="1" t="s">
        <v>185</v>
      </c>
    </row>
    <row r="51" spans="1:3" x14ac:dyDescent="0.2">
      <c r="A51">
        <f t="shared" si="0"/>
        <v>50</v>
      </c>
      <c r="B51" t="s">
        <v>195</v>
      </c>
      <c r="C51" s="1" t="s">
        <v>185</v>
      </c>
    </row>
    <row r="52" spans="1:3" x14ac:dyDescent="0.2">
      <c r="A52">
        <f t="shared" si="0"/>
        <v>51</v>
      </c>
      <c r="B52" t="s">
        <v>196</v>
      </c>
      <c r="C52" s="1" t="s">
        <v>187</v>
      </c>
    </row>
    <row r="53" spans="1:3" x14ac:dyDescent="0.2">
      <c r="A53">
        <f t="shared" si="0"/>
        <v>52</v>
      </c>
      <c r="B53" t="s">
        <v>195</v>
      </c>
      <c r="C53" s="1" t="s">
        <v>187</v>
      </c>
    </row>
    <row r="54" spans="1:3" x14ac:dyDescent="0.2">
      <c r="A54">
        <f t="shared" si="0"/>
        <v>53</v>
      </c>
      <c r="B54" t="s">
        <v>195</v>
      </c>
      <c r="C54" s="1" t="s">
        <v>185</v>
      </c>
    </row>
    <row r="55" spans="1:3" x14ac:dyDescent="0.2">
      <c r="A55">
        <f t="shared" si="0"/>
        <v>54</v>
      </c>
      <c r="B55" t="s">
        <v>196</v>
      </c>
      <c r="C55" s="1" t="s">
        <v>187</v>
      </c>
    </row>
    <row r="56" spans="1:3" x14ac:dyDescent="0.2">
      <c r="A56">
        <f t="shared" si="0"/>
        <v>55</v>
      </c>
      <c r="B56" t="s">
        <v>196</v>
      </c>
      <c r="C56" s="1" t="s">
        <v>187</v>
      </c>
    </row>
    <row r="57" spans="1:3" x14ac:dyDescent="0.2">
      <c r="A57">
        <f t="shared" si="0"/>
        <v>56</v>
      </c>
      <c r="B57" t="s">
        <v>195</v>
      </c>
      <c r="C57" s="1" t="s">
        <v>187</v>
      </c>
    </row>
    <row r="58" spans="1:3" x14ac:dyDescent="0.2">
      <c r="A58">
        <f t="shared" si="0"/>
        <v>57</v>
      </c>
      <c r="B58" t="s">
        <v>196</v>
      </c>
      <c r="C58" s="1" t="s">
        <v>185</v>
      </c>
    </row>
    <row r="59" spans="1:3" x14ac:dyDescent="0.2">
      <c r="A59">
        <f t="shared" si="0"/>
        <v>58</v>
      </c>
      <c r="B59" t="s">
        <v>197</v>
      </c>
      <c r="C59" s="1" t="s">
        <v>187</v>
      </c>
    </row>
    <row r="60" spans="1:3" x14ac:dyDescent="0.2">
      <c r="A60">
        <f t="shared" si="0"/>
        <v>59</v>
      </c>
      <c r="B60" t="s">
        <v>195</v>
      </c>
      <c r="C60" s="1" t="s">
        <v>187</v>
      </c>
    </row>
    <row r="61" spans="1:3" x14ac:dyDescent="0.2">
      <c r="A61">
        <f t="shared" si="0"/>
        <v>60</v>
      </c>
      <c r="B61" t="s">
        <v>195</v>
      </c>
      <c r="C61" s="1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FF5E-41F7-40D4-837B-7282156DFCDF}">
  <dimension ref="A1:B11"/>
  <sheetViews>
    <sheetView workbookViewId="0">
      <selection sqref="A1:B11"/>
    </sheetView>
  </sheetViews>
  <sheetFormatPr baseColWidth="10" defaultColWidth="8.83203125" defaultRowHeight="15" x14ac:dyDescent="0.2"/>
  <sheetData>
    <row r="1" spans="1:2" x14ac:dyDescent="0.2">
      <c r="A1" s="1" t="s">
        <v>192</v>
      </c>
      <c r="B1" s="1" t="s">
        <v>215</v>
      </c>
    </row>
    <row r="2" spans="1:2" x14ac:dyDescent="0.2">
      <c r="A2" s="1">
        <v>6</v>
      </c>
      <c r="B2" s="1">
        <v>-3</v>
      </c>
    </row>
    <row r="3" spans="1:2" x14ac:dyDescent="0.2">
      <c r="A3" s="1">
        <v>15</v>
      </c>
      <c r="B3" s="1">
        <v>15</v>
      </c>
    </row>
    <row r="4" spans="1:2" x14ac:dyDescent="0.2">
      <c r="A4" s="1">
        <v>19</v>
      </c>
      <c r="B4" s="1">
        <v>28</v>
      </c>
    </row>
    <row r="5" spans="1:2" x14ac:dyDescent="0.2">
      <c r="A5" s="1">
        <v>26</v>
      </c>
      <c r="B5" s="1">
        <v>18</v>
      </c>
    </row>
    <row r="6" spans="1:2" x14ac:dyDescent="0.2">
      <c r="A6" s="1">
        <v>2</v>
      </c>
      <c r="B6" s="1">
        <v>32</v>
      </c>
    </row>
    <row r="7" spans="1:2" x14ac:dyDescent="0.2">
      <c r="A7" s="1">
        <v>16</v>
      </c>
      <c r="B7" s="1">
        <v>31</v>
      </c>
    </row>
    <row r="8" spans="1:2" x14ac:dyDescent="0.2">
      <c r="A8" s="1">
        <v>31</v>
      </c>
      <c r="B8" s="1">
        <v>15</v>
      </c>
    </row>
    <row r="9" spans="1:2" x14ac:dyDescent="0.2">
      <c r="A9" s="1">
        <v>14</v>
      </c>
      <c r="B9" s="1">
        <v>12</v>
      </c>
    </row>
    <row r="10" spans="1:2" x14ac:dyDescent="0.2">
      <c r="A10" s="1">
        <v>15</v>
      </c>
      <c r="B10" s="1">
        <v>10</v>
      </c>
    </row>
    <row r="11" spans="1:2" x14ac:dyDescent="0.2">
      <c r="A11" s="1">
        <v>16</v>
      </c>
      <c r="B11" s="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1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5.5" customWidth="1"/>
  </cols>
  <sheetData>
    <row r="1" spans="1:1" x14ac:dyDescent="0.2">
      <c r="A1" s="1" t="s">
        <v>214</v>
      </c>
    </row>
    <row r="2" spans="1:1" x14ac:dyDescent="0.2">
      <c r="A2" s="1">
        <v>70</v>
      </c>
    </row>
    <row r="3" spans="1:1" x14ac:dyDescent="0.2">
      <c r="A3" s="1">
        <v>65</v>
      </c>
    </row>
    <row r="4" spans="1:1" x14ac:dyDescent="0.2">
      <c r="A4" s="1">
        <v>65</v>
      </c>
    </row>
    <row r="5" spans="1:1" x14ac:dyDescent="0.2">
      <c r="A5" s="1">
        <v>62</v>
      </c>
    </row>
    <row r="6" spans="1:1" x14ac:dyDescent="0.2">
      <c r="A6" s="1">
        <v>70</v>
      </c>
    </row>
    <row r="7" spans="1:1" x14ac:dyDescent="0.2">
      <c r="A7" s="1">
        <v>64</v>
      </c>
    </row>
    <row r="8" spans="1:1" x14ac:dyDescent="0.2">
      <c r="A8" s="1">
        <v>65</v>
      </c>
    </row>
    <row r="9" spans="1:1" x14ac:dyDescent="0.2">
      <c r="A9" s="1">
        <v>60</v>
      </c>
    </row>
    <row r="10" spans="1:1" x14ac:dyDescent="0.2">
      <c r="A10" s="1">
        <v>65</v>
      </c>
    </row>
    <row r="11" spans="1:1" x14ac:dyDescent="0.2">
      <c r="A11" s="1">
        <v>65</v>
      </c>
    </row>
    <row r="12" spans="1:1" x14ac:dyDescent="0.2">
      <c r="A12" s="1">
        <v>65</v>
      </c>
    </row>
    <row r="13" spans="1:1" x14ac:dyDescent="0.2">
      <c r="A13" s="1">
        <v>64</v>
      </c>
    </row>
    <row r="14" spans="1:1" x14ac:dyDescent="0.2">
      <c r="A14" s="1">
        <v>66</v>
      </c>
    </row>
    <row r="15" spans="1:1" x14ac:dyDescent="0.2">
      <c r="A15" s="1">
        <v>66</v>
      </c>
    </row>
    <row r="16" spans="1:1" x14ac:dyDescent="0.2">
      <c r="A16" s="1">
        <v>63</v>
      </c>
    </row>
    <row r="17" spans="1:1" x14ac:dyDescent="0.2">
      <c r="A17" s="1">
        <v>60</v>
      </c>
    </row>
    <row r="18" spans="1:1" x14ac:dyDescent="0.2">
      <c r="A18" s="1">
        <v>70</v>
      </c>
    </row>
    <row r="19" spans="1:1" x14ac:dyDescent="0.2">
      <c r="A19" s="1">
        <v>63</v>
      </c>
    </row>
    <row r="20" spans="1:1" x14ac:dyDescent="0.2">
      <c r="A20" s="1">
        <v>67</v>
      </c>
    </row>
    <row r="21" spans="1:1" x14ac:dyDescent="0.2">
      <c r="A21" s="1">
        <v>68</v>
      </c>
    </row>
    <row r="22" spans="1:1" x14ac:dyDescent="0.2">
      <c r="A22" s="1">
        <v>70</v>
      </c>
    </row>
    <row r="23" spans="1:1" x14ac:dyDescent="0.2">
      <c r="A23" s="1">
        <v>65</v>
      </c>
    </row>
    <row r="24" spans="1:1" x14ac:dyDescent="0.2">
      <c r="A24" s="1">
        <v>66</v>
      </c>
    </row>
    <row r="25" spans="1:1" x14ac:dyDescent="0.2">
      <c r="A25" s="1">
        <v>67</v>
      </c>
    </row>
    <row r="26" spans="1:1" x14ac:dyDescent="0.2">
      <c r="A26" s="1">
        <v>63</v>
      </c>
    </row>
    <row r="27" spans="1:1" x14ac:dyDescent="0.2">
      <c r="A27" s="1">
        <v>60</v>
      </c>
    </row>
    <row r="28" spans="1:1" x14ac:dyDescent="0.2">
      <c r="A28" s="1">
        <v>70</v>
      </c>
    </row>
    <row r="29" spans="1:1" x14ac:dyDescent="0.2">
      <c r="A29" s="1">
        <v>66</v>
      </c>
    </row>
    <row r="30" spans="1:1" x14ac:dyDescent="0.2">
      <c r="A30" s="1">
        <v>67</v>
      </c>
    </row>
    <row r="31" spans="1:1" x14ac:dyDescent="0.2">
      <c r="A31" s="1">
        <v>68</v>
      </c>
    </row>
    <row r="32" spans="1:1" x14ac:dyDescent="0.2">
      <c r="A32" s="1">
        <v>70</v>
      </c>
    </row>
    <row r="33" spans="1:1" x14ac:dyDescent="0.2">
      <c r="A33" s="1">
        <v>68</v>
      </c>
    </row>
    <row r="34" spans="1:1" x14ac:dyDescent="0.2">
      <c r="A34" s="1">
        <v>69</v>
      </c>
    </row>
    <row r="35" spans="1:1" x14ac:dyDescent="0.2">
      <c r="A35" s="1">
        <v>70</v>
      </c>
    </row>
    <row r="36" spans="1:1" x14ac:dyDescent="0.2">
      <c r="A36" s="1">
        <v>62</v>
      </c>
    </row>
    <row r="37" spans="1:1" x14ac:dyDescent="0.2">
      <c r="A37" s="1">
        <v>64</v>
      </c>
    </row>
    <row r="38" spans="1:1" x14ac:dyDescent="0.2">
      <c r="A38" s="1">
        <v>70</v>
      </c>
    </row>
    <row r="39" spans="1:1" x14ac:dyDescent="0.2">
      <c r="A39" s="1">
        <v>68</v>
      </c>
    </row>
    <row r="40" spans="1:1" x14ac:dyDescent="0.2">
      <c r="A40" s="1">
        <v>69</v>
      </c>
    </row>
    <row r="41" spans="1:1" x14ac:dyDescent="0.2">
      <c r="A41" s="1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F782-9C51-4253-A528-63C246302CF0}">
  <dimension ref="A1:C8"/>
  <sheetViews>
    <sheetView workbookViewId="0">
      <selection sqref="A1:C8"/>
    </sheetView>
  </sheetViews>
  <sheetFormatPr baseColWidth="10" defaultColWidth="8.83203125" defaultRowHeight="15" x14ac:dyDescent="0.2"/>
  <sheetData>
    <row r="1" spans="1:3" x14ac:dyDescent="0.2">
      <c r="A1" t="s">
        <v>243</v>
      </c>
      <c r="B1" t="s">
        <v>244</v>
      </c>
      <c r="C1" t="s">
        <v>245</v>
      </c>
    </row>
    <row r="2" spans="1:3" x14ac:dyDescent="0.2">
      <c r="A2">
        <v>1</v>
      </c>
      <c r="B2">
        <v>15</v>
      </c>
      <c r="C2">
        <v>16</v>
      </c>
    </row>
    <row r="3" spans="1:3" x14ac:dyDescent="0.2">
      <c r="A3">
        <v>2</v>
      </c>
      <c r="B3">
        <v>21</v>
      </c>
      <c r="C3">
        <v>25</v>
      </c>
    </row>
    <row r="4" spans="1:3" x14ac:dyDescent="0.2">
      <c r="A4">
        <v>3</v>
      </c>
      <c r="B4">
        <v>16</v>
      </c>
      <c r="C4">
        <v>18</v>
      </c>
    </row>
    <row r="5" spans="1:3" x14ac:dyDescent="0.2">
      <c r="A5">
        <v>4</v>
      </c>
      <c r="B5">
        <v>18</v>
      </c>
      <c r="C5">
        <v>22</v>
      </c>
    </row>
    <row r="6" spans="1:3" x14ac:dyDescent="0.2">
      <c r="A6">
        <v>5</v>
      </c>
      <c r="B6">
        <v>19</v>
      </c>
      <c r="C6">
        <v>23</v>
      </c>
    </row>
    <row r="7" spans="1:3" x14ac:dyDescent="0.2">
      <c r="A7">
        <v>6</v>
      </c>
      <c r="B7">
        <v>22</v>
      </c>
      <c r="C7">
        <v>20</v>
      </c>
    </row>
    <row r="8" spans="1:3" x14ac:dyDescent="0.2">
      <c r="A8">
        <v>7</v>
      </c>
      <c r="B8">
        <v>20</v>
      </c>
      <c r="C8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B8B8-6BEF-45CB-A896-B99A58D929DE}">
  <dimension ref="A1:B37"/>
  <sheetViews>
    <sheetView workbookViewId="0">
      <selection activeCell="F9" sqref="F9"/>
    </sheetView>
  </sheetViews>
  <sheetFormatPr baseColWidth="10" defaultColWidth="8.83203125" defaultRowHeight="15" x14ac:dyDescent="0.2"/>
  <sheetData>
    <row r="1" spans="1:2" x14ac:dyDescent="0.2">
      <c r="A1" s="1" t="s">
        <v>250</v>
      </c>
      <c r="B1" s="1" t="s">
        <v>5</v>
      </c>
    </row>
    <row r="2" spans="1:2" x14ac:dyDescent="0.2">
      <c r="A2" s="1">
        <v>1</v>
      </c>
      <c r="B2" s="1">
        <v>23</v>
      </c>
    </row>
    <row r="3" spans="1:2" x14ac:dyDescent="0.2">
      <c r="A3" s="1">
        <v>2</v>
      </c>
      <c r="B3" s="1">
        <v>63</v>
      </c>
    </row>
    <row r="4" spans="1:2" x14ac:dyDescent="0.2">
      <c r="A4" s="1">
        <v>3</v>
      </c>
      <c r="B4" s="1">
        <v>63</v>
      </c>
    </row>
    <row r="5" spans="1:2" x14ac:dyDescent="0.2">
      <c r="A5" s="1">
        <v>4</v>
      </c>
      <c r="B5" s="1">
        <v>30</v>
      </c>
    </row>
    <row r="6" spans="1:2" x14ac:dyDescent="0.2">
      <c r="A6" s="1">
        <v>5</v>
      </c>
      <c r="B6" s="1">
        <v>21</v>
      </c>
    </row>
    <row r="7" spans="1:2" x14ac:dyDescent="0.2">
      <c r="A7" s="1">
        <v>6</v>
      </c>
      <c r="B7" s="1">
        <v>53</v>
      </c>
    </row>
    <row r="8" spans="1:2" x14ac:dyDescent="0.2">
      <c r="A8" s="1">
        <v>7</v>
      </c>
      <c r="B8" s="1">
        <v>37</v>
      </c>
    </row>
    <row r="9" spans="1:2" x14ac:dyDescent="0.2">
      <c r="A9" s="1">
        <v>8</v>
      </c>
      <c r="B9" s="1">
        <v>54</v>
      </c>
    </row>
    <row r="10" spans="1:2" x14ac:dyDescent="0.2">
      <c r="A10" s="1">
        <v>9</v>
      </c>
      <c r="B10" s="1">
        <v>45</v>
      </c>
    </row>
    <row r="11" spans="1:2" x14ac:dyDescent="0.2">
      <c r="A11" s="1">
        <v>10</v>
      </c>
      <c r="B11" s="1">
        <v>39</v>
      </c>
    </row>
    <row r="12" spans="1:2" x14ac:dyDescent="0.2">
      <c r="A12" s="1">
        <v>11</v>
      </c>
      <c r="B12" s="1">
        <v>73</v>
      </c>
    </row>
    <row r="13" spans="1:2" x14ac:dyDescent="0.2">
      <c r="A13" s="1">
        <v>12</v>
      </c>
      <c r="B13" s="1">
        <v>29</v>
      </c>
    </row>
    <row r="14" spans="1:2" x14ac:dyDescent="0.2">
      <c r="A14" s="1">
        <v>13</v>
      </c>
      <c r="B14" s="1">
        <v>79</v>
      </c>
    </row>
    <row r="15" spans="1:2" x14ac:dyDescent="0.2">
      <c r="A15" s="1">
        <v>14</v>
      </c>
      <c r="B15" s="1">
        <v>27</v>
      </c>
    </row>
    <row r="16" spans="1:2" x14ac:dyDescent="0.2">
      <c r="A16" s="1">
        <v>15</v>
      </c>
      <c r="B16" s="1">
        <v>52</v>
      </c>
    </row>
    <row r="17" spans="1:2" x14ac:dyDescent="0.2">
      <c r="A17" s="1">
        <v>16</v>
      </c>
      <c r="B17" s="1">
        <v>47</v>
      </c>
    </row>
    <row r="18" spans="1:2" x14ac:dyDescent="0.2">
      <c r="A18" s="1">
        <v>17</v>
      </c>
      <c r="B18" s="1">
        <v>42</v>
      </c>
    </row>
    <row r="19" spans="1:2" x14ac:dyDescent="0.2">
      <c r="A19" s="1">
        <v>18</v>
      </c>
      <c r="B19" s="1">
        <v>70</v>
      </c>
    </row>
    <row r="20" spans="1:2" x14ac:dyDescent="0.2">
      <c r="A20" s="1">
        <v>19</v>
      </c>
      <c r="B20" s="1">
        <v>104</v>
      </c>
    </row>
    <row r="21" spans="1:2" x14ac:dyDescent="0.2">
      <c r="A21" s="1">
        <v>20</v>
      </c>
      <c r="B21" s="1">
        <v>29</v>
      </c>
    </row>
    <row r="22" spans="1:2" x14ac:dyDescent="0.2">
      <c r="A22" s="1">
        <v>21</v>
      </c>
      <c r="B22" s="1">
        <v>39</v>
      </c>
    </row>
    <row r="23" spans="1:2" x14ac:dyDescent="0.2">
      <c r="A23" s="1">
        <v>22</v>
      </c>
      <c r="B23" s="1">
        <v>53</v>
      </c>
    </row>
    <row r="24" spans="1:2" x14ac:dyDescent="0.2">
      <c r="A24" s="1">
        <v>23</v>
      </c>
      <c r="B24" s="1">
        <v>74</v>
      </c>
    </row>
    <row r="25" spans="1:2" x14ac:dyDescent="0.2">
      <c r="A25" s="1">
        <v>24</v>
      </c>
      <c r="B25" s="1">
        <v>28</v>
      </c>
    </row>
    <row r="26" spans="1:2" x14ac:dyDescent="0.2">
      <c r="A26" s="1">
        <v>25</v>
      </c>
      <c r="B26" s="1">
        <v>39</v>
      </c>
    </row>
    <row r="27" spans="1:2" x14ac:dyDescent="0.2">
      <c r="A27" s="1">
        <v>26</v>
      </c>
      <c r="B27" s="1">
        <v>26</v>
      </c>
    </row>
    <row r="28" spans="1:2" x14ac:dyDescent="0.2">
      <c r="A28" s="1">
        <v>27</v>
      </c>
      <c r="B28" s="1">
        <v>78</v>
      </c>
    </row>
    <row r="29" spans="1:2" x14ac:dyDescent="0.2">
      <c r="A29" s="1">
        <v>28</v>
      </c>
      <c r="B29" s="1">
        <v>62</v>
      </c>
    </row>
    <row r="30" spans="1:2" x14ac:dyDescent="0.2">
      <c r="A30" s="1">
        <v>29</v>
      </c>
      <c r="B30" s="1">
        <v>17</v>
      </c>
    </row>
    <row r="31" spans="1:2" x14ac:dyDescent="0.2">
      <c r="A31" s="1">
        <v>30</v>
      </c>
      <c r="B31" s="1">
        <v>54</v>
      </c>
    </row>
    <row r="32" spans="1:2" x14ac:dyDescent="0.2">
      <c r="A32" s="1">
        <v>31</v>
      </c>
      <c r="B32" s="1">
        <v>44</v>
      </c>
    </row>
    <row r="33" spans="1:2" x14ac:dyDescent="0.2">
      <c r="A33" s="1">
        <v>32</v>
      </c>
      <c r="B33" s="1">
        <v>32</v>
      </c>
    </row>
    <row r="34" spans="1:2" x14ac:dyDescent="0.2">
      <c r="A34" s="1">
        <v>33</v>
      </c>
      <c r="B34" s="1">
        <v>38</v>
      </c>
    </row>
    <row r="35" spans="1:2" x14ac:dyDescent="0.2">
      <c r="A35" s="1">
        <v>34</v>
      </c>
      <c r="B35" s="1">
        <v>58</v>
      </c>
    </row>
    <row r="36" spans="1:2" x14ac:dyDescent="0.2">
      <c r="A36" s="1">
        <v>35</v>
      </c>
      <c r="B36" s="1">
        <v>33</v>
      </c>
    </row>
    <row r="37" spans="1:2" x14ac:dyDescent="0.2">
      <c r="A37" s="1">
        <v>36</v>
      </c>
      <c r="B37" s="1">
        <v>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2377-E454-4AA7-A081-61EDB645B9B1}">
  <dimension ref="A1:C36"/>
  <sheetViews>
    <sheetView workbookViewId="0">
      <selection sqref="A1:C1048576"/>
    </sheetView>
  </sheetViews>
  <sheetFormatPr baseColWidth="10" defaultColWidth="8.83203125" defaultRowHeight="15" x14ac:dyDescent="0.2"/>
  <cols>
    <col min="1" max="1" width="7.83203125" style="1" bestFit="1" customWidth="1"/>
    <col min="2" max="2" width="9.6640625" style="1" customWidth="1"/>
    <col min="3" max="3" width="6.5" style="1" bestFit="1" customWidth="1"/>
  </cols>
  <sheetData>
    <row r="1" spans="1:3" ht="16" x14ac:dyDescent="0.2">
      <c r="A1" s="1" t="s">
        <v>238</v>
      </c>
      <c r="B1" s="12" t="s">
        <v>239</v>
      </c>
      <c r="C1" s="12" t="s">
        <v>240</v>
      </c>
    </row>
    <row r="2" spans="1:3" x14ac:dyDescent="0.2">
      <c r="A2" s="1">
        <v>1</v>
      </c>
      <c r="B2" s="9">
        <v>13.9</v>
      </c>
      <c r="C2" s="9">
        <v>12.9</v>
      </c>
    </row>
    <row r="3" spans="1:3" x14ac:dyDescent="0.2">
      <c r="A3" s="1">
        <v>2</v>
      </c>
      <c r="B3" s="9">
        <v>18.8</v>
      </c>
      <c r="C3" s="9">
        <v>15.8</v>
      </c>
    </row>
    <row r="4" spans="1:3" x14ac:dyDescent="0.2">
      <c r="A4" s="1">
        <v>3</v>
      </c>
      <c r="B4" s="9">
        <v>14.8</v>
      </c>
      <c r="C4" s="9">
        <v>11.8</v>
      </c>
    </row>
    <row r="5" spans="1:3" x14ac:dyDescent="0.2">
      <c r="A5" s="1">
        <v>4</v>
      </c>
      <c r="B5" s="9">
        <v>11.8</v>
      </c>
      <c r="C5" s="9">
        <v>11.8</v>
      </c>
    </row>
    <row r="6" spans="1:3" x14ac:dyDescent="0.2">
      <c r="A6" s="1">
        <v>5</v>
      </c>
      <c r="B6" s="9">
        <v>16.8</v>
      </c>
      <c r="C6" s="9">
        <v>12.8</v>
      </c>
    </row>
    <row r="7" spans="1:3" x14ac:dyDescent="0.2">
      <c r="A7" s="1">
        <v>6</v>
      </c>
      <c r="B7" s="9">
        <v>14.2</v>
      </c>
      <c r="C7" s="9">
        <v>13.2</v>
      </c>
    </row>
    <row r="8" spans="1:3" x14ac:dyDescent="0.2">
      <c r="A8" s="1">
        <v>7</v>
      </c>
      <c r="B8" s="9">
        <v>21.8</v>
      </c>
      <c r="C8" s="9">
        <v>18.8</v>
      </c>
    </row>
    <row r="9" spans="1:3" x14ac:dyDescent="0.2">
      <c r="A9" s="1">
        <v>8</v>
      </c>
      <c r="B9" s="9">
        <v>6.8000000000000007</v>
      </c>
      <c r="C9" s="9">
        <v>10.8</v>
      </c>
    </row>
    <row r="10" spans="1:3" x14ac:dyDescent="0.2">
      <c r="A10" s="1">
        <v>9</v>
      </c>
      <c r="B10" s="9">
        <v>19.5</v>
      </c>
      <c r="C10" s="9">
        <v>18.5</v>
      </c>
    </row>
    <row r="11" spans="1:3" x14ac:dyDescent="0.2">
      <c r="A11" s="1">
        <v>10</v>
      </c>
      <c r="B11" s="9">
        <v>21</v>
      </c>
      <c r="C11" s="9">
        <v>19</v>
      </c>
    </row>
    <row r="12" spans="1:3" x14ac:dyDescent="0.2">
      <c r="A12" s="1">
        <v>11</v>
      </c>
      <c r="B12" s="9">
        <v>12.4</v>
      </c>
      <c r="C12" s="9">
        <v>11.4</v>
      </c>
    </row>
    <row r="13" spans="1:3" x14ac:dyDescent="0.2">
      <c r="A13" s="1">
        <v>12</v>
      </c>
      <c r="B13" s="9">
        <v>15.100000000000001</v>
      </c>
      <c r="C13" s="9">
        <v>18.100000000000001</v>
      </c>
    </row>
    <row r="14" spans="1:3" x14ac:dyDescent="0.2">
      <c r="A14" s="1">
        <v>13</v>
      </c>
      <c r="B14" s="9">
        <v>15.8</v>
      </c>
      <c r="C14" s="9">
        <v>15.8</v>
      </c>
    </row>
    <row r="15" spans="1:3" x14ac:dyDescent="0.2">
      <c r="A15" s="1">
        <v>14</v>
      </c>
      <c r="B15" s="9">
        <v>24.9</v>
      </c>
      <c r="C15" s="9">
        <v>23.9</v>
      </c>
    </row>
    <row r="16" spans="1:3" x14ac:dyDescent="0.2">
      <c r="A16" s="1">
        <v>15</v>
      </c>
      <c r="B16" s="9">
        <v>13.2</v>
      </c>
      <c r="C16" s="9">
        <v>16.2</v>
      </c>
    </row>
    <row r="17" spans="1:3" x14ac:dyDescent="0.2">
      <c r="A17" s="1">
        <v>16</v>
      </c>
      <c r="B17" s="9">
        <v>25.9</v>
      </c>
      <c r="C17" s="9">
        <v>23.9</v>
      </c>
    </row>
    <row r="18" spans="1:3" x14ac:dyDescent="0.2">
      <c r="A18" s="1">
        <v>17</v>
      </c>
      <c r="B18" s="9">
        <v>12.8</v>
      </c>
      <c r="C18" s="9">
        <v>10.8</v>
      </c>
    </row>
    <row r="19" spans="1:3" x14ac:dyDescent="0.2">
      <c r="A19" s="1">
        <v>18</v>
      </c>
      <c r="B19" s="9">
        <v>12.9</v>
      </c>
      <c r="C19" s="9">
        <v>11.9</v>
      </c>
    </row>
    <row r="20" spans="1:3" x14ac:dyDescent="0.2">
      <c r="A20" s="1">
        <v>19</v>
      </c>
      <c r="B20" s="9">
        <v>20.5</v>
      </c>
      <c r="C20" s="9">
        <v>19.5</v>
      </c>
    </row>
    <row r="21" spans="1:3" x14ac:dyDescent="0.2">
      <c r="A21" s="1">
        <v>20</v>
      </c>
      <c r="B21" s="9">
        <v>19</v>
      </c>
      <c r="C21" s="9">
        <v>18</v>
      </c>
    </row>
    <row r="22" spans="1:3" x14ac:dyDescent="0.2">
      <c r="A22" s="1">
        <v>21</v>
      </c>
      <c r="B22" s="9">
        <v>10.8</v>
      </c>
      <c r="C22" s="9">
        <v>10.8</v>
      </c>
    </row>
    <row r="23" spans="1:3" x14ac:dyDescent="0.2">
      <c r="A23" s="1">
        <v>22</v>
      </c>
      <c r="B23" s="9">
        <v>10.8</v>
      </c>
      <c r="C23" s="9">
        <v>13.8</v>
      </c>
    </row>
    <row r="24" spans="1:3" x14ac:dyDescent="0.2">
      <c r="A24" s="1">
        <v>23</v>
      </c>
      <c r="B24" s="9">
        <v>18.8</v>
      </c>
      <c r="C24" s="9">
        <v>17.8</v>
      </c>
    </row>
    <row r="25" spans="1:3" x14ac:dyDescent="0.2">
      <c r="A25" s="1">
        <v>24</v>
      </c>
      <c r="B25" s="9">
        <v>12.6</v>
      </c>
      <c r="C25" s="9">
        <v>11.6</v>
      </c>
    </row>
    <row r="26" spans="1:3" x14ac:dyDescent="0.2">
      <c r="A26" s="1">
        <v>25</v>
      </c>
      <c r="B26" s="9">
        <v>26.8</v>
      </c>
      <c r="C26" s="9">
        <v>22.8</v>
      </c>
    </row>
    <row r="27" spans="1:3" x14ac:dyDescent="0.2">
      <c r="A27" s="1">
        <v>26</v>
      </c>
      <c r="B27" s="9">
        <v>22.9</v>
      </c>
      <c r="C27" s="9">
        <v>24.9</v>
      </c>
    </row>
    <row r="28" spans="1:3" x14ac:dyDescent="0.2">
      <c r="A28" s="1">
        <v>27</v>
      </c>
      <c r="B28" s="9">
        <v>22.8</v>
      </c>
      <c r="C28" s="9">
        <v>19.8</v>
      </c>
    </row>
    <row r="29" spans="1:3" x14ac:dyDescent="0.2">
      <c r="A29" s="1">
        <v>28</v>
      </c>
      <c r="B29" s="9">
        <v>12.5</v>
      </c>
      <c r="C29" s="9">
        <v>16.5</v>
      </c>
    </row>
    <row r="30" spans="1:3" x14ac:dyDescent="0.2">
      <c r="A30" s="1">
        <v>29</v>
      </c>
      <c r="B30" s="9">
        <v>15.5</v>
      </c>
      <c r="C30" s="9">
        <v>15.5</v>
      </c>
    </row>
    <row r="31" spans="1:3" x14ac:dyDescent="0.2">
      <c r="A31" s="1">
        <v>30</v>
      </c>
      <c r="B31" s="9">
        <v>14.1</v>
      </c>
      <c r="C31" s="9">
        <v>13.1</v>
      </c>
    </row>
    <row r="32" spans="1:3" x14ac:dyDescent="0.2">
      <c r="A32" s="1">
        <v>31</v>
      </c>
      <c r="B32" s="9">
        <v>15.100000000000001</v>
      </c>
      <c r="C32" s="9">
        <v>19.100000000000001</v>
      </c>
    </row>
    <row r="33" spans="1:3" x14ac:dyDescent="0.2">
      <c r="A33" s="1">
        <v>32</v>
      </c>
      <c r="B33" s="9">
        <v>12.5</v>
      </c>
      <c r="C33" s="9">
        <v>10.5</v>
      </c>
    </row>
    <row r="34" spans="1:3" x14ac:dyDescent="0.2">
      <c r="A34" s="1">
        <v>33</v>
      </c>
      <c r="B34" s="9">
        <v>21.9</v>
      </c>
      <c r="C34" s="9">
        <v>22.9</v>
      </c>
    </row>
    <row r="35" spans="1:3" x14ac:dyDescent="0.2">
      <c r="A35" s="1">
        <v>34</v>
      </c>
      <c r="B35" s="9">
        <v>24.2</v>
      </c>
      <c r="C35" s="9">
        <v>20.2</v>
      </c>
    </row>
    <row r="36" spans="1:3" x14ac:dyDescent="0.2">
      <c r="A36" s="1">
        <v>35</v>
      </c>
      <c r="B36" s="9">
        <v>17.8</v>
      </c>
      <c r="C36" s="9">
        <v>14.8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7"/>
  <sheetViews>
    <sheetView workbookViewId="0">
      <selection activeCell="J16" sqref="J16"/>
    </sheetView>
  </sheetViews>
  <sheetFormatPr baseColWidth="10" defaultColWidth="8.83203125" defaultRowHeight="15" x14ac:dyDescent="0.2"/>
  <cols>
    <col min="1" max="1" width="10.5" style="1" customWidth="1"/>
  </cols>
  <sheetData>
    <row r="1" spans="1:1" x14ac:dyDescent="0.2">
      <c r="A1" s="1" t="s">
        <v>5</v>
      </c>
    </row>
    <row r="2" spans="1:1" x14ac:dyDescent="0.2">
      <c r="A2" s="1">
        <v>23</v>
      </c>
    </row>
    <row r="3" spans="1:1" x14ac:dyDescent="0.2">
      <c r="A3" s="1">
        <v>63</v>
      </c>
    </row>
    <row r="4" spans="1:1" x14ac:dyDescent="0.2">
      <c r="A4" s="1">
        <v>63</v>
      </c>
    </row>
    <row r="5" spans="1:1" x14ac:dyDescent="0.2">
      <c r="A5" s="1">
        <v>30</v>
      </c>
    </row>
    <row r="6" spans="1:1" x14ac:dyDescent="0.2">
      <c r="A6" s="1">
        <v>21</v>
      </c>
    </row>
    <row r="7" spans="1:1" x14ac:dyDescent="0.2">
      <c r="A7" s="1">
        <v>53</v>
      </c>
    </row>
    <row r="8" spans="1:1" x14ac:dyDescent="0.2">
      <c r="A8" s="1">
        <v>37</v>
      </c>
    </row>
    <row r="9" spans="1:1" x14ac:dyDescent="0.2">
      <c r="A9" s="1">
        <v>54</v>
      </c>
    </row>
    <row r="10" spans="1:1" x14ac:dyDescent="0.2">
      <c r="A10" s="1">
        <v>45</v>
      </c>
    </row>
    <row r="11" spans="1:1" x14ac:dyDescent="0.2">
      <c r="A11" s="1">
        <v>39</v>
      </c>
    </row>
    <row r="12" spans="1:1" x14ac:dyDescent="0.2">
      <c r="A12" s="1">
        <v>73</v>
      </c>
    </row>
    <row r="13" spans="1:1" x14ac:dyDescent="0.2">
      <c r="A13" s="1">
        <v>29</v>
      </c>
    </row>
    <row r="14" spans="1:1" x14ac:dyDescent="0.2">
      <c r="A14" s="1">
        <v>79</v>
      </c>
    </row>
    <row r="15" spans="1:1" x14ac:dyDescent="0.2">
      <c r="A15" s="1">
        <v>27</v>
      </c>
    </row>
    <row r="16" spans="1:1" x14ac:dyDescent="0.2">
      <c r="A16" s="1">
        <v>52</v>
      </c>
    </row>
    <row r="17" spans="1:1" x14ac:dyDescent="0.2">
      <c r="A17" s="1">
        <v>47</v>
      </c>
    </row>
    <row r="18" spans="1:1" x14ac:dyDescent="0.2">
      <c r="A18" s="1">
        <v>42</v>
      </c>
    </row>
    <row r="19" spans="1:1" x14ac:dyDescent="0.2">
      <c r="A19" s="1">
        <v>70</v>
      </c>
    </row>
    <row r="20" spans="1:1" x14ac:dyDescent="0.2">
      <c r="A20" s="1">
        <v>104</v>
      </c>
    </row>
    <row r="21" spans="1:1" x14ac:dyDescent="0.2">
      <c r="A21" s="1">
        <v>29</v>
      </c>
    </row>
    <row r="22" spans="1:1" x14ac:dyDescent="0.2">
      <c r="A22" s="1">
        <v>39</v>
      </c>
    </row>
    <row r="23" spans="1:1" x14ac:dyDescent="0.2">
      <c r="A23" s="1">
        <v>53</v>
      </c>
    </row>
    <row r="24" spans="1:1" x14ac:dyDescent="0.2">
      <c r="A24" s="1">
        <v>74</v>
      </c>
    </row>
    <row r="25" spans="1:1" x14ac:dyDescent="0.2">
      <c r="A25" s="1">
        <v>28</v>
      </c>
    </row>
    <row r="26" spans="1:1" x14ac:dyDescent="0.2">
      <c r="A26" s="1">
        <v>39</v>
      </c>
    </row>
    <row r="27" spans="1:1" x14ac:dyDescent="0.2">
      <c r="A27" s="1">
        <v>26</v>
      </c>
    </row>
    <row r="28" spans="1:1" x14ac:dyDescent="0.2">
      <c r="A28" s="1">
        <v>78</v>
      </c>
    </row>
    <row r="29" spans="1:1" x14ac:dyDescent="0.2">
      <c r="A29" s="1">
        <v>62</v>
      </c>
    </row>
    <row r="30" spans="1:1" x14ac:dyDescent="0.2">
      <c r="A30" s="1">
        <v>17</v>
      </c>
    </row>
    <row r="31" spans="1:1" x14ac:dyDescent="0.2">
      <c r="A31" s="1">
        <v>54</v>
      </c>
    </row>
    <row r="32" spans="1:1" x14ac:dyDescent="0.2">
      <c r="A32" s="1">
        <v>44</v>
      </c>
    </row>
    <row r="33" spans="1:1" x14ac:dyDescent="0.2">
      <c r="A33" s="1">
        <v>32</v>
      </c>
    </row>
    <row r="34" spans="1:1" x14ac:dyDescent="0.2">
      <c r="A34" s="1">
        <v>38</v>
      </c>
    </row>
    <row r="35" spans="1:1" x14ac:dyDescent="0.2">
      <c r="A35" s="1">
        <v>58</v>
      </c>
    </row>
    <row r="36" spans="1:1" x14ac:dyDescent="0.2">
      <c r="A36" s="1">
        <v>33</v>
      </c>
    </row>
    <row r="37" spans="1:1" x14ac:dyDescent="0.2">
      <c r="A37" s="1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D61A-528D-445B-927A-3A8F3FD677D6}">
  <dimension ref="A1:B41"/>
  <sheetViews>
    <sheetView workbookViewId="0">
      <selection sqref="A1:B1048576"/>
    </sheetView>
  </sheetViews>
  <sheetFormatPr baseColWidth="10" defaultColWidth="8.83203125" defaultRowHeight="15" x14ac:dyDescent="0.2"/>
  <sheetData>
    <row r="1" spans="1:2" x14ac:dyDescent="0.2">
      <c r="A1" s="2" t="s">
        <v>216</v>
      </c>
      <c r="B1" s="2" t="s">
        <v>217</v>
      </c>
    </row>
    <row r="2" spans="1:2" x14ac:dyDescent="0.2">
      <c r="A2" s="2">
        <v>16</v>
      </c>
      <c r="B2" s="2">
        <v>16</v>
      </c>
    </row>
    <row r="3" spans="1:2" x14ac:dyDescent="0.2">
      <c r="A3" s="2">
        <v>14</v>
      </c>
      <c r="B3" s="2">
        <v>20</v>
      </c>
    </row>
    <row r="4" spans="1:2" x14ac:dyDescent="0.2">
      <c r="A4" s="2">
        <v>17</v>
      </c>
      <c r="B4" s="2">
        <v>18</v>
      </c>
    </row>
    <row r="5" spans="1:2" x14ac:dyDescent="0.2">
      <c r="A5" s="2">
        <v>19</v>
      </c>
      <c r="B5" s="2">
        <v>15</v>
      </c>
    </row>
    <row r="6" spans="1:2" x14ac:dyDescent="0.2">
      <c r="A6" s="2">
        <v>19</v>
      </c>
      <c r="B6" s="2">
        <v>19</v>
      </c>
    </row>
    <row r="7" spans="1:2" x14ac:dyDescent="0.2">
      <c r="A7" s="2">
        <v>20</v>
      </c>
      <c r="B7" s="2">
        <v>21</v>
      </c>
    </row>
    <row r="8" spans="1:2" x14ac:dyDescent="0.2">
      <c r="A8" s="2">
        <v>12</v>
      </c>
      <c r="B8" s="2">
        <v>21</v>
      </c>
    </row>
    <row r="9" spans="1:2" x14ac:dyDescent="0.2">
      <c r="A9" s="2">
        <v>16</v>
      </c>
      <c r="B9" s="2">
        <v>18</v>
      </c>
    </row>
    <row r="10" spans="1:2" x14ac:dyDescent="0.2">
      <c r="A10" s="2">
        <v>19</v>
      </c>
      <c r="B10" s="2">
        <v>20</v>
      </c>
    </row>
    <row r="11" spans="1:2" x14ac:dyDescent="0.2">
      <c r="A11" s="2">
        <v>14</v>
      </c>
      <c r="B11" s="2">
        <v>19</v>
      </c>
    </row>
    <row r="12" spans="1:2" x14ac:dyDescent="0.2">
      <c r="A12" s="2">
        <v>15</v>
      </c>
      <c r="B12" s="2">
        <v>15</v>
      </c>
    </row>
    <row r="13" spans="1:2" x14ac:dyDescent="0.2">
      <c r="A13" s="2">
        <v>13</v>
      </c>
      <c r="B13" s="2">
        <v>13</v>
      </c>
    </row>
    <row r="14" spans="1:2" x14ac:dyDescent="0.2">
      <c r="A14" s="2">
        <v>13</v>
      </c>
      <c r="B14" s="2">
        <v>16</v>
      </c>
    </row>
    <row r="15" spans="1:2" x14ac:dyDescent="0.2">
      <c r="A15" s="2">
        <v>15</v>
      </c>
      <c r="B15" s="2">
        <v>15</v>
      </c>
    </row>
    <row r="16" spans="1:2" x14ac:dyDescent="0.2">
      <c r="A16" s="2">
        <v>15</v>
      </c>
      <c r="B16" s="2">
        <v>19</v>
      </c>
    </row>
    <row r="17" spans="1:2" x14ac:dyDescent="0.2">
      <c r="A17" s="2">
        <v>12</v>
      </c>
      <c r="B17" s="2">
        <v>17</v>
      </c>
    </row>
    <row r="18" spans="1:2" x14ac:dyDescent="0.2">
      <c r="A18" s="2">
        <v>15</v>
      </c>
      <c r="B18" s="2">
        <v>18</v>
      </c>
    </row>
    <row r="19" spans="1:2" x14ac:dyDescent="0.2">
      <c r="A19" s="2">
        <v>16</v>
      </c>
      <c r="B19" s="2">
        <v>16</v>
      </c>
    </row>
    <row r="20" spans="1:2" x14ac:dyDescent="0.2">
      <c r="A20" s="2">
        <v>17</v>
      </c>
      <c r="B20" s="2">
        <v>16</v>
      </c>
    </row>
    <row r="21" spans="1:2" x14ac:dyDescent="0.2">
      <c r="A21" s="2">
        <v>16</v>
      </c>
      <c r="B21" s="2">
        <v>20</v>
      </c>
    </row>
    <row r="22" spans="1:2" x14ac:dyDescent="0.2">
      <c r="A22" s="2">
        <v>16</v>
      </c>
      <c r="B22" s="2">
        <v>12</v>
      </c>
    </row>
    <row r="23" spans="1:2" x14ac:dyDescent="0.2">
      <c r="A23" s="2">
        <v>16</v>
      </c>
      <c r="B23" s="2">
        <v>19</v>
      </c>
    </row>
    <row r="24" spans="1:2" x14ac:dyDescent="0.2">
      <c r="A24" s="2">
        <v>19</v>
      </c>
      <c r="B24" s="2">
        <v>16</v>
      </c>
    </row>
    <row r="25" spans="1:2" x14ac:dyDescent="0.2">
      <c r="A25" s="2">
        <v>16</v>
      </c>
      <c r="B25" s="2">
        <v>15</v>
      </c>
    </row>
    <row r="26" spans="1:2" x14ac:dyDescent="0.2">
      <c r="A26" s="2">
        <v>16</v>
      </c>
      <c r="B26" s="2">
        <v>20</v>
      </c>
    </row>
    <row r="27" spans="1:2" x14ac:dyDescent="0.2">
      <c r="A27" s="2">
        <v>16</v>
      </c>
      <c r="B27" s="2">
        <v>18</v>
      </c>
    </row>
    <row r="28" spans="1:2" x14ac:dyDescent="0.2">
      <c r="A28" s="2">
        <v>21</v>
      </c>
      <c r="B28" s="2">
        <v>14</v>
      </c>
    </row>
    <row r="29" spans="1:2" x14ac:dyDescent="0.2">
      <c r="A29" s="2">
        <v>18</v>
      </c>
      <c r="B29" s="2">
        <v>17</v>
      </c>
    </row>
    <row r="30" spans="1:2" x14ac:dyDescent="0.2">
      <c r="A30" s="2">
        <v>21</v>
      </c>
      <c r="B30" s="2">
        <v>18</v>
      </c>
    </row>
    <row r="31" spans="1:2" x14ac:dyDescent="0.2">
      <c r="A31" s="2">
        <v>15</v>
      </c>
      <c r="B31" s="2">
        <v>17</v>
      </c>
    </row>
    <row r="32" spans="1:2" x14ac:dyDescent="0.2">
      <c r="A32" s="2">
        <v>20</v>
      </c>
      <c r="B32" s="2">
        <v>18</v>
      </c>
    </row>
    <row r="33" spans="1:2" x14ac:dyDescent="0.2">
      <c r="A33" s="2">
        <v>13</v>
      </c>
      <c r="B33" s="2">
        <v>16</v>
      </c>
    </row>
    <row r="34" spans="1:2" x14ac:dyDescent="0.2">
      <c r="A34" s="2">
        <v>18</v>
      </c>
      <c r="B34" s="2">
        <v>18</v>
      </c>
    </row>
    <row r="35" spans="1:2" x14ac:dyDescent="0.2">
      <c r="A35" s="2">
        <v>18</v>
      </c>
      <c r="B35" s="2">
        <v>14</v>
      </c>
    </row>
    <row r="36" spans="1:2" x14ac:dyDescent="0.2">
      <c r="A36" s="2">
        <v>21</v>
      </c>
      <c r="B36" s="2">
        <v>15</v>
      </c>
    </row>
    <row r="37" spans="1:2" x14ac:dyDescent="0.2">
      <c r="A37" s="2">
        <v>16</v>
      </c>
      <c r="B37" s="2">
        <v>20</v>
      </c>
    </row>
    <row r="38" spans="1:2" x14ac:dyDescent="0.2">
      <c r="A38" s="2">
        <v>16</v>
      </c>
      <c r="B38" s="2">
        <v>23</v>
      </c>
    </row>
    <row r="39" spans="1:2" x14ac:dyDescent="0.2">
      <c r="A39" s="2">
        <v>18</v>
      </c>
      <c r="B39" s="2">
        <v>15</v>
      </c>
    </row>
    <row r="40" spans="1:2" x14ac:dyDescent="0.2">
      <c r="A40" s="2">
        <v>16</v>
      </c>
      <c r="B40" s="2">
        <v>16</v>
      </c>
    </row>
    <row r="41" spans="1:2" x14ac:dyDescent="0.2">
      <c r="A41" s="2">
        <v>18</v>
      </c>
      <c r="B41" s="2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1"/>
  <sheetViews>
    <sheetView workbookViewId="0">
      <selection activeCell="H9" sqref="H9"/>
    </sheetView>
  </sheetViews>
  <sheetFormatPr baseColWidth="10" defaultColWidth="8.83203125" defaultRowHeight="15" x14ac:dyDescent="0.2"/>
  <sheetData>
    <row r="1" spans="1:1" x14ac:dyDescent="0.2">
      <c r="A1" t="s">
        <v>209</v>
      </c>
    </row>
    <row r="2" spans="1:1" x14ac:dyDescent="0.2">
      <c r="A2">
        <v>915</v>
      </c>
    </row>
    <row r="3" spans="1:1" x14ac:dyDescent="0.2">
      <c r="A3">
        <v>719</v>
      </c>
    </row>
    <row r="4" spans="1:1" x14ac:dyDescent="0.2">
      <c r="A4">
        <v>1024</v>
      </c>
    </row>
    <row r="5" spans="1:1" x14ac:dyDescent="0.2">
      <c r="A5">
        <v>1230</v>
      </c>
    </row>
    <row r="6" spans="1:1" x14ac:dyDescent="0.2">
      <c r="A6">
        <v>1215</v>
      </c>
    </row>
    <row r="7" spans="1:1" x14ac:dyDescent="0.2">
      <c r="A7">
        <v>1322</v>
      </c>
    </row>
    <row r="8" spans="1:1" x14ac:dyDescent="0.2">
      <c r="A8">
        <v>538</v>
      </c>
    </row>
    <row r="9" spans="1:1" x14ac:dyDescent="0.2">
      <c r="A9">
        <v>928</v>
      </c>
    </row>
    <row r="10" spans="1:1" x14ac:dyDescent="0.2">
      <c r="A10">
        <v>1194</v>
      </c>
    </row>
    <row r="11" spans="1:1" x14ac:dyDescent="0.2">
      <c r="A11">
        <v>758</v>
      </c>
    </row>
    <row r="12" spans="1:1" x14ac:dyDescent="0.2">
      <c r="A12">
        <v>837</v>
      </c>
    </row>
    <row r="13" spans="1:1" x14ac:dyDescent="0.2">
      <c r="A13">
        <v>637</v>
      </c>
    </row>
    <row r="14" spans="1:1" x14ac:dyDescent="0.2">
      <c r="A14">
        <v>606</v>
      </c>
    </row>
    <row r="15" spans="1:1" x14ac:dyDescent="0.2">
      <c r="A15">
        <v>779</v>
      </c>
    </row>
    <row r="16" spans="1:1" x14ac:dyDescent="0.2">
      <c r="A16">
        <v>820</v>
      </c>
    </row>
    <row r="17" spans="1:1" x14ac:dyDescent="0.2">
      <c r="A17">
        <v>551</v>
      </c>
    </row>
    <row r="18" spans="1:1" x14ac:dyDescent="0.2">
      <c r="A18">
        <v>861</v>
      </c>
    </row>
    <row r="19" spans="1:1" x14ac:dyDescent="0.2">
      <c r="A19">
        <v>894</v>
      </c>
    </row>
    <row r="20" spans="1:1" x14ac:dyDescent="0.2">
      <c r="A20">
        <v>1002</v>
      </c>
    </row>
    <row r="21" spans="1:1" x14ac:dyDescent="0.2">
      <c r="A21">
        <v>902</v>
      </c>
    </row>
    <row r="22" spans="1:1" x14ac:dyDescent="0.2">
      <c r="A22">
        <v>910</v>
      </c>
    </row>
    <row r="23" spans="1:1" x14ac:dyDescent="0.2">
      <c r="A23">
        <v>901</v>
      </c>
    </row>
    <row r="24" spans="1:1" x14ac:dyDescent="0.2">
      <c r="A24">
        <v>1244</v>
      </c>
    </row>
    <row r="25" spans="1:1" x14ac:dyDescent="0.2">
      <c r="A25">
        <v>958</v>
      </c>
    </row>
    <row r="26" spans="1:1" x14ac:dyDescent="0.2">
      <c r="A26">
        <v>938</v>
      </c>
    </row>
    <row r="27" spans="1:1" x14ac:dyDescent="0.2">
      <c r="A27">
        <v>872</v>
      </c>
    </row>
    <row r="28" spans="1:1" x14ac:dyDescent="0.2">
      <c r="A28">
        <v>1369</v>
      </c>
    </row>
    <row r="29" spans="1:1" x14ac:dyDescent="0.2">
      <c r="A29">
        <v>1148</v>
      </c>
    </row>
    <row r="30" spans="1:1" x14ac:dyDescent="0.2">
      <c r="A30">
        <v>1450</v>
      </c>
    </row>
    <row r="31" spans="1:1" x14ac:dyDescent="0.2">
      <c r="A31">
        <v>844</v>
      </c>
    </row>
    <row r="32" spans="1:1" x14ac:dyDescent="0.2">
      <c r="A32">
        <v>1307</v>
      </c>
    </row>
    <row r="33" spans="1:1" x14ac:dyDescent="0.2">
      <c r="A33">
        <v>653</v>
      </c>
    </row>
    <row r="34" spans="1:1" x14ac:dyDescent="0.2">
      <c r="A34">
        <v>1083</v>
      </c>
    </row>
    <row r="35" spans="1:1" x14ac:dyDescent="0.2">
      <c r="A35">
        <v>1155</v>
      </c>
    </row>
    <row r="36" spans="1:1" x14ac:dyDescent="0.2">
      <c r="A36">
        <v>1359</v>
      </c>
    </row>
    <row r="37" spans="1:1" x14ac:dyDescent="0.2">
      <c r="A37">
        <v>958</v>
      </c>
    </row>
    <row r="38" spans="1:1" x14ac:dyDescent="0.2">
      <c r="A38">
        <v>870</v>
      </c>
    </row>
    <row r="39" spans="1:1" x14ac:dyDescent="0.2">
      <c r="A39">
        <v>1110</v>
      </c>
    </row>
    <row r="40" spans="1:1" x14ac:dyDescent="0.2">
      <c r="A40">
        <v>899</v>
      </c>
    </row>
    <row r="41" spans="1:1" x14ac:dyDescent="0.2">
      <c r="A41">
        <v>1127</v>
      </c>
    </row>
    <row r="42" spans="1:1" x14ac:dyDescent="0.2">
      <c r="A42">
        <v>686</v>
      </c>
    </row>
    <row r="43" spans="1:1" x14ac:dyDescent="0.2">
      <c r="A43">
        <v>806</v>
      </c>
    </row>
    <row r="44" spans="1:1" x14ac:dyDescent="0.2">
      <c r="A44">
        <v>671</v>
      </c>
    </row>
    <row r="45" spans="1:1" x14ac:dyDescent="0.2">
      <c r="A45">
        <v>902</v>
      </c>
    </row>
    <row r="46" spans="1:1" x14ac:dyDescent="0.2">
      <c r="A46">
        <v>969</v>
      </c>
    </row>
    <row r="47" spans="1:1" x14ac:dyDescent="0.2">
      <c r="A47">
        <v>981</v>
      </c>
    </row>
    <row r="48" spans="1:1" x14ac:dyDescent="0.2">
      <c r="A48">
        <v>910</v>
      </c>
    </row>
    <row r="49" spans="1:1" x14ac:dyDescent="0.2">
      <c r="A49">
        <v>1414</v>
      </c>
    </row>
    <row r="50" spans="1:1" x14ac:dyDescent="0.2">
      <c r="A50">
        <v>627</v>
      </c>
    </row>
    <row r="51" spans="1:1" x14ac:dyDescent="0.2">
      <c r="A51">
        <v>828</v>
      </c>
    </row>
    <row r="52" spans="1:1" x14ac:dyDescent="0.2">
      <c r="A52">
        <v>459</v>
      </c>
    </row>
    <row r="53" spans="1:1" x14ac:dyDescent="0.2">
      <c r="A53">
        <v>1265</v>
      </c>
    </row>
    <row r="54" spans="1:1" x14ac:dyDescent="0.2">
      <c r="A54">
        <v>719</v>
      </c>
    </row>
    <row r="55" spans="1:1" x14ac:dyDescent="0.2">
      <c r="A55">
        <v>844</v>
      </c>
    </row>
    <row r="56" spans="1:1" x14ac:dyDescent="0.2">
      <c r="A56">
        <v>1127</v>
      </c>
    </row>
    <row r="57" spans="1:1" x14ac:dyDescent="0.2">
      <c r="A57">
        <v>1068</v>
      </c>
    </row>
    <row r="58" spans="1:1" x14ac:dyDescent="0.2">
      <c r="A58">
        <v>1150</v>
      </c>
    </row>
    <row r="59" spans="1:1" x14ac:dyDescent="0.2">
      <c r="A59">
        <v>1094</v>
      </c>
    </row>
    <row r="60" spans="1:1" x14ac:dyDescent="0.2">
      <c r="A60">
        <v>701</v>
      </c>
    </row>
    <row r="61" spans="1:1" x14ac:dyDescent="0.2">
      <c r="A61">
        <v>752</v>
      </c>
    </row>
    <row r="62" spans="1:1" x14ac:dyDescent="0.2">
      <c r="A62">
        <v>1114</v>
      </c>
    </row>
    <row r="63" spans="1:1" x14ac:dyDescent="0.2">
      <c r="A63">
        <v>1040</v>
      </c>
    </row>
    <row r="64" spans="1:1" x14ac:dyDescent="0.2">
      <c r="A64">
        <v>787</v>
      </c>
    </row>
    <row r="65" spans="1:1" x14ac:dyDescent="0.2">
      <c r="A65">
        <v>927</v>
      </c>
    </row>
    <row r="66" spans="1:1" x14ac:dyDescent="0.2">
      <c r="A66">
        <v>1001</v>
      </c>
    </row>
    <row r="67" spans="1:1" x14ac:dyDescent="0.2">
      <c r="A67">
        <v>1087</v>
      </c>
    </row>
    <row r="68" spans="1:1" x14ac:dyDescent="0.2">
      <c r="A68">
        <v>1003</v>
      </c>
    </row>
    <row r="69" spans="1:1" x14ac:dyDescent="0.2">
      <c r="A69">
        <v>793</v>
      </c>
    </row>
    <row r="70" spans="1:1" x14ac:dyDescent="0.2">
      <c r="A70">
        <v>1352</v>
      </c>
    </row>
    <row r="71" spans="1:1" x14ac:dyDescent="0.2">
      <c r="A71">
        <v>1072</v>
      </c>
    </row>
    <row r="72" spans="1:1" x14ac:dyDescent="0.2">
      <c r="A72">
        <v>989</v>
      </c>
    </row>
    <row r="73" spans="1:1" x14ac:dyDescent="0.2">
      <c r="A73">
        <v>1141</v>
      </c>
    </row>
    <row r="74" spans="1:1" x14ac:dyDescent="0.2">
      <c r="A74">
        <v>1147</v>
      </c>
    </row>
    <row r="75" spans="1:1" x14ac:dyDescent="0.2">
      <c r="A75">
        <v>848</v>
      </c>
    </row>
    <row r="76" spans="1:1" x14ac:dyDescent="0.2">
      <c r="A76">
        <v>790</v>
      </c>
    </row>
    <row r="77" spans="1:1" x14ac:dyDescent="0.2">
      <c r="A77">
        <v>1197</v>
      </c>
    </row>
    <row r="78" spans="1:1" x14ac:dyDescent="0.2">
      <c r="A78">
        <v>735</v>
      </c>
    </row>
    <row r="79" spans="1:1" x14ac:dyDescent="0.2">
      <c r="A79">
        <v>663</v>
      </c>
    </row>
    <row r="80" spans="1:1" x14ac:dyDescent="0.2">
      <c r="A80">
        <v>1117</v>
      </c>
    </row>
    <row r="81" spans="1:1" x14ac:dyDescent="0.2">
      <c r="A81">
        <v>1103</v>
      </c>
    </row>
    <row r="82" spans="1:1" x14ac:dyDescent="0.2">
      <c r="A82">
        <v>1416</v>
      </c>
    </row>
    <row r="83" spans="1:1" x14ac:dyDescent="0.2">
      <c r="A83">
        <v>1264</v>
      </c>
    </row>
    <row r="84" spans="1:1" x14ac:dyDescent="0.2">
      <c r="A84">
        <v>1236</v>
      </c>
    </row>
    <row r="85" spans="1:1" x14ac:dyDescent="0.2">
      <c r="A85">
        <v>998</v>
      </c>
    </row>
    <row r="86" spans="1:1" x14ac:dyDescent="0.2">
      <c r="A86">
        <v>975</v>
      </c>
    </row>
    <row r="87" spans="1:1" x14ac:dyDescent="0.2">
      <c r="A87">
        <v>1066</v>
      </c>
    </row>
    <row r="88" spans="1:1" x14ac:dyDescent="0.2">
      <c r="A88">
        <v>970</v>
      </c>
    </row>
    <row r="89" spans="1:1" x14ac:dyDescent="0.2">
      <c r="A89">
        <v>764</v>
      </c>
    </row>
    <row r="90" spans="1:1" x14ac:dyDescent="0.2">
      <c r="A90">
        <v>620</v>
      </c>
    </row>
    <row r="91" spans="1:1" x14ac:dyDescent="0.2">
      <c r="A91">
        <v>1141</v>
      </c>
    </row>
    <row r="92" spans="1:1" x14ac:dyDescent="0.2">
      <c r="A92">
        <v>1064</v>
      </c>
    </row>
    <row r="93" spans="1:1" x14ac:dyDescent="0.2">
      <c r="A93">
        <v>1099</v>
      </c>
    </row>
    <row r="94" spans="1:1" x14ac:dyDescent="0.2">
      <c r="A94">
        <v>1018</v>
      </c>
    </row>
    <row r="95" spans="1:1" x14ac:dyDescent="0.2">
      <c r="A95">
        <v>770</v>
      </c>
    </row>
    <row r="96" spans="1:1" x14ac:dyDescent="0.2">
      <c r="A96">
        <v>1223</v>
      </c>
    </row>
    <row r="97" spans="1:1" x14ac:dyDescent="0.2">
      <c r="A97">
        <v>913</v>
      </c>
    </row>
    <row r="98" spans="1:1" x14ac:dyDescent="0.2">
      <c r="A98">
        <v>807</v>
      </c>
    </row>
    <row r="99" spans="1:1" x14ac:dyDescent="0.2">
      <c r="A99">
        <v>811</v>
      </c>
    </row>
    <row r="100" spans="1:1" x14ac:dyDescent="0.2">
      <c r="A100">
        <v>889</v>
      </c>
    </row>
    <row r="101" spans="1:1" x14ac:dyDescent="0.2">
      <c r="A101">
        <v>884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3"/>
  <sheetViews>
    <sheetView workbookViewId="0">
      <selection sqref="A1:B1048576"/>
    </sheetView>
  </sheetViews>
  <sheetFormatPr baseColWidth="10" defaultColWidth="8.83203125" defaultRowHeight="15" x14ac:dyDescent="0.2"/>
  <cols>
    <col min="1" max="2" width="9.1640625" style="1"/>
  </cols>
  <sheetData>
    <row r="1" spans="1:2" x14ac:dyDescent="0.2">
      <c r="A1" s="1" t="s">
        <v>33</v>
      </c>
      <c r="B1" s="1" t="s">
        <v>34</v>
      </c>
    </row>
    <row r="2" spans="1:2" x14ac:dyDescent="0.2">
      <c r="A2" s="1">
        <v>74</v>
      </c>
      <c r="B2" s="1">
        <v>83</v>
      </c>
    </row>
    <row r="3" spans="1:2" x14ac:dyDescent="0.2">
      <c r="A3" s="1">
        <v>89</v>
      </c>
      <c r="B3" s="1">
        <v>76</v>
      </c>
    </row>
    <row r="4" spans="1:2" x14ac:dyDescent="0.2">
      <c r="A4" s="1">
        <v>92</v>
      </c>
      <c r="B4" s="1">
        <v>89</v>
      </c>
    </row>
    <row r="5" spans="1:2" x14ac:dyDescent="0.2">
      <c r="A5" s="1">
        <v>84</v>
      </c>
      <c r="B5" s="1">
        <v>84</v>
      </c>
    </row>
    <row r="6" spans="1:2" x14ac:dyDescent="0.2">
      <c r="A6" s="1">
        <v>68</v>
      </c>
      <c r="B6" s="1">
        <v>99</v>
      </c>
    </row>
    <row r="7" spans="1:2" x14ac:dyDescent="0.2">
      <c r="A7" s="1">
        <v>88</v>
      </c>
      <c r="B7" s="1">
        <v>88</v>
      </c>
    </row>
    <row r="8" spans="1:2" x14ac:dyDescent="0.2">
      <c r="A8" s="1">
        <v>84</v>
      </c>
      <c r="B8" s="1">
        <v>96</v>
      </c>
    </row>
    <row r="9" spans="1:2" x14ac:dyDescent="0.2">
      <c r="A9" s="1">
        <v>96</v>
      </c>
      <c r="B9" s="1">
        <v>68</v>
      </c>
    </row>
    <row r="10" spans="1:2" x14ac:dyDescent="0.2">
      <c r="A10" s="1">
        <v>100</v>
      </c>
      <c r="B10" s="1">
        <v>82</v>
      </c>
    </row>
    <row r="11" spans="1:2" x14ac:dyDescent="0.2">
      <c r="A11" s="1">
        <v>62</v>
      </c>
      <c r="B11" s="1">
        <v>81</v>
      </c>
    </row>
    <row r="12" spans="1:2" x14ac:dyDescent="0.2">
      <c r="A12" s="1">
        <v>99</v>
      </c>
      <c r="B12" s="1">
        <v>77</v>
      </c>
    </row>
    <row r="13" spans="1:2" x14ac:dyDescent="0.2">
      <c r="A13" s="1">
        <v>77</v>
      </c>
      <c r="B13" s="1">
        <v>94</v>
      </c>
    </row>
    <row r="14" spans="1:2" x14ac:dyDescent="0.2">
      <c r="A14" s="1">
        <v>84</v>
      </c>
      <c r="B14" s="1">
        <v>74</v>
      </c>
    </row>
    <row r="15" spans="1:2" x14ac:dyDescent="0.2">
      <c r="A15" s="1">
        <v>58</v>
      </c>
      <c r="B15" s="1">
        <v>69</v>
      </c>
    </row>
    <row r="16" spans="1:2" x14ac:dyDescent="0.2">
      <c r="A16" s="1">
        <v>100</v>
      </c>
      <c r="B16" s="1">
        <v>84</v>
      </c>
    </row>
    <row r="17" spans="1:2" x14ac:dyDescent="0.2">
      <c r="A17" s="1">
        <v>48</v>
      </c>
      <c r="B17" s="1">
        <v>89</v>
      </c>
    </row>
    <row r="18" spans="1:2" x14ac:dyDescent="0.2">
      <c r="A18" s="1">
        <v>88</v>
      </c>
      <c r="B18" s="1">
        <v>76</v>
      </c>
    </row>
    <row r="19" spans="1:2" x14ac:dyDescent="0.2">
      <c r="A19" s="1">
        <v>94</v>
      </c>
      <c r="B19" s="1">
        <v>66</v>
      </c>
    </row>
    <row r="20" spans="1:2" x14ac:dyDescent="0.2">
      <c r="A20" s="1">
        <v>86</v>
      </c>
      <c r="B20" s="1">
        <v>62</v>
      </c>
    </row>
    <row r="21" spans="1:2" x14ac:dyDescent="0.2">
      <c r="A21" s="1">
        <v>66</v>
      </c>
      <c r="B21" s="1">
        <v>98</v>
      </c>
    </row>
    <row r="22" spans="1:2" x14ac:dyDescent="0.2">
      <c r="A22" s="1">
        <v>90</v>
      </c>
      <c r="B22" s="1">
        <v>88</v>
      </c>
    </row>
    <row r="23" spans="1:2" x14ac:dyDescent="0.2">
      <c r="A23" s="1">
        <v>66</v>
      </c>
      <c r="B23" s="1">
        <v>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1"/>
  <sheetViews>
    <sheetView workbookViewId="0">
      <selection sqref="A1:A1048576"/>
    </sheetView>
  </sheetViews>
  <sheetFormatPr baseColWidth="10" defaultColWidth="8.83203125" defaultRowHeight="15" x14ac:dyDescent="0.2"/>
  <sheetData>
    <row r="1" spans="1:1" x14ac:dyDescent="0.2">
      <c r="A1" t="s">
        <v>183</v>
      </c>
    </row>
    <row r="2" spans="1:1" x14ac:dyDescent="0.2">
      <c r="A2">
        <v>47</v>
      </c>
    </row>
    <row r="3" spans="1:1" x14ac:dyDescent="0.2">
      <c r="A3">
        <v>67</v>
      </c>
    </row>
    <row r="4" spans="1:1" x14ac:dyDescent="0.2">
      <c r="A4">
        <v>43</v>
      </c>
    </row>
    <row r="5" spans="1:1" x14ac:dyDescent="0.2">
      <c r="A5">
        <v>29</v>
      </c>
    </row>
    <row r="6" spans="1:1" x14ac:dyDescent="0.2">
      <c r="A6">
        <v>47</v>
      </c>
    </row>
    <row r="7" spans="1:1" x14ac:dyDescent="0.2">
      <c r="A7">
        <v>37</v>
      </c>
    </row>
    <row r="8" spans="1:1" x14ac:dyDescent="0.2">
      <c r="A8">
        <v>28</v>
      </c>
    </row>
    <row r="9" spans="1:1" x14ac:dyDescent="0.2">
      <c r="A9">
        <v>33</v>
      </c>
    </row>
    <row r="10" spans="1:1" x14ac:dyDescent="0.2">
      <c r="A10">
        <v>44</v>
      </c>
    </row>
    <row r="11" spans="1:1" x14ac:dyDescent="0.2">
      <c r="A11">
        <v>46</v>
      </c>
    </row>
    <row r="12" spans="1:1" x14ac:dyDescent="0.2">
      <c r="A12">
        <v>52</v>
      </c>
    </row>
    <row r="13" spans="1:1" x14ac:dyDescent="0.2">
      <c r="A13">
        <v>48</v>
      </c>
    </row>
    <row r="14" spans="1:1" x14ac:dyDescent="0.2">
      <c r="A14">
        <v>32</v>
      </c>
    </row>
    <row r="15" spans="1:1" x14ac:dyDescent="0.2">
      <c r="A15">
        <v>46</v>
      </c>
    </row>
    <row r="16" spans="1:1" x14ac:dyDescent="0.2">
      <c r="A16">
        <v>63</v>
      </c>
    </row>
    <row r="17" spans="1:1" x14ac:dyDescent="0.2">
      <c r="A17">
        <v>63</v>
      </c>
    </row>
    <row r="18" spans="1:1" x14ac:dyDescent="0.2">
      <c r="A18">
        <v>61</v>
      </c>
    </row>
    <row r="19" spans="1:1" x14ac:dyDescent="0.2">
      <c r="A19">
        <v>40</v>
      </c>
    </row>
    <row r="20" spans="1:1" x14ac:dyDescent="0.2">
      <c r="A20">
        <v>51</v>
      </c>
    </row>
    <row r="21" spans="1:1" x14ac:dyDescent="0.2">
      <c r="A21">
        <v>49</v>
      </c>
    </row>
    <row r="22" spans="1:1" x14ac:dyDescent="0.2">
      <c r="A22">
        <v>62</v>
      </c>
    </row>
    <row r="23" spans="1:1" x14ac:dyDescent="0.2">
      <c r="A23">
        <v>39</v>
      </c>
    </row>
    <row r="24" spans="1:1" x14ac:dyDescent="0.2">
      <c r="A24">
        <v>42</v>
      </c>
    </row>
    <row r="25" spans="1:1" x14ac:dyDescent="0.2">
      <c r="A25">
        <v>46</v>
      </c>
    </row>
    <row r="26" spans="1:1" x14ac:dyDescent="0.2">
      <c r="A26">
        <v>48</v>
      </c>
    </row>
    <row r="27" spans="1:1" x14ac:dyDescent="0.2">
      <c r="A27">
        <v>47</v>
      </c>
    </row>
    <row r="28" spans="1:1" x14ac:dyDescent="0.2">
      <c r="A28">
        <v>67</v>
      </c>
    </row>
    <row r="29" spans="1:1" x14ac:dyDescent="0.2">
      <c r="A29">
        <v>43</v>
      </c>
    </row>
    <row r="30" spans="1:1" x14ac:dyDescent="0.2">
      <c r="A30">
        <v>29</v>
      </c>
    </row>
    <row r="31" spans="1:1" x14ac:dyDescent="0.2">
      <c r="A31">
        <v>47</v>
      </c>
    </row>
    <row r="32" spans="1:1" x14ac:dyDescent="0.2">
      <c r="A32">
        <v>37</v>
      </c>
    </row>
    <row r="33" spans="1:1" x14ac:dyDescent="0.2">
      <c r="A33">
        <v>28</v>
      </c>
    </row>
    <row r="34" spans="1:1" x14ac:dyDescent="0.2">
      <c r="A34">
        <v>33</v>
      </c>
    </row>
    <row r="35" spans="1:1" x14ac:dyDescent="0.2">
      <c r="A35">
        <v>44</v>
      </c>
    </row>
    <row r="36" spans="1:1" x14ac:dyDescent="0.2">
      <c r="A36">
        <v>46</v>
      </c>
    </row>
    <row r="37" spans="1:1" x14ac:dyDescent="0.2">
      <c r="A37">
        <v>52</v>
      </c>
    </row>
    <row r="38" spans="1:1" x14ac:dyDescent="0.2">
      <c r="A38">
        <v>48</v>
      </c>
    </row>
    <row r="39" spans="1:1" x14ac:dyDescent="0.2">
      <c r="A39">
        <v>32</v>
      </c>
    </row>
    <row r="40" spans="1:1" x14ac:dyDescent="0.2">
      <c r="A40">
        <v>46</v>
      </c>
    </row>
    <row r="41" spans="1:1" x14ac:dyDescent="0.2">
      <c r="A41">
        <v>63</v>
      </c>
    </row>
    <row r="42" spans="1:1" x14ac:dyDescent="0.2">
      <c r="A42">
        <v>63</v>
      </c>
    </row>
    <row r="43" spans="1:1" x14ac:dyDescent="0.2">
      <c r="A43">
        <v>61</v>
      </c>
    </row>
    <row r="44" spans="1:1" x14ac:dyDescent="0.2">
      <c r="A44">
        <v>40</v>
      </c>
    </row>
    <row r="45" spans="1:1" x14ac:dyDescent="0.2">
      <c r="A45">
        <v>51</v>
      </c>
    </row>
    <row r="46" spans="1:1" x14ac:dyDescent="0.2">
      <c r="A46">
        <v>49</v>
      </c>
    </row>
    <row r="47" spans="1:1" x14ac:dyDescent="0.2">
      <c r="A47">
        <v>62</v>
      </c>
    </row>
    <row r="48" spans="1:1" x14ac:dyDescent="0.2">
      <c r="A48">
        <v>39</v>
      </c>
    </row>
    <row r="49" spans="1:1" x14ac:dyDescent="0.2">
      <c r="A49">
        <v>42</v>
      </c>
    </row>
    <row r="50" spans="1:1" x14ac:dyDescent="0.2">
      <c r="A50">
        <v>46</v>
      </c>
    </row>
    <row r="51" spans="1:1" x14ac:dyDescent="0.2">
      <c r="A51">
        <v>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FF1C-AC5D-4405-B26B-A34E8BC4FBAF}">
  <dimension ref="A1:B31"/>
  <sheetViews>
    <sheetView workbookViewId="0">
      <selection activeCell="F10" sqref="F10"/>
    </sheetView>
  </sheetViews>
  <sheetFormatPr baseColWidth="10" defaultColWidth="8.83203125" defaultRowHeight="15" x14ac:dyDescent="0.2"/>
  <sheetData>
    <row r="1" spans="1:2" x14ac:dyDescent="0.2">
      <c r="A1" s="1" t="s">
        <v>224</v>
      </c>
      <c r="B1" s="1" t="s">
        <v>225</v>
      </c>
    </row>
    <row r="2" spans="1:2" x14ac:dyDescent="0.2">
      <c r="A2" s="1">
        <v>74</v>
      </c>
      <c r="B2" s="1">
        <v>1</v>
      </c>
    </row>
    <row r="3" spans="1:2" x14ac:dyDescent="0.2">
      <c r="A3" s="1">
        <v>62</v>
      </c>
      <c r="B3" s="1">
        <v>1</v>
      </c>
    </row>
    <row r="4" spans="1:2" x14ac:dyDescent="0.2">
      <c r="A4" s="1">
        <v>67</v>
      </c>
      <c r="B4" s="1">
        <v>1</v>
      </c>
    </row>
    <row r="5" spans="1:2" x14ac:dyDescent="0.2">
      <c r="A5" s="1">
        <v>73</v>
      </c>
      <c r="B5" s="1">
        <v>1</v>
      </c>
    </row>
    <row r="6" spans="1:2" x14ac:dyDescent="0.2">
      <c r="A6" s="1">
        <v>49</v>
      </c>
      <c r="B6" s="1">
        <v>1</v>
      </c>
    </row>
    <row r="7" spans="1:2" x14ac:dyDescent="0.2">
      <c r="A7" s="1">
        <v>62</v>
      </c>
      <c r="B7" s="1">
        <v>0</v>
      </c>
    </row>
    <row r="8" spans="1:2" x14ac:dyDescent="0.2">
      <c r="A8" s="1">
        <v>56</v>
      </c>
      <c r="B8" s="1">
        <v>0</v>
      </c>
    </row>
    <row r="9" spans="1:2" x14ac:dyDescent="0.2">
      <c r="A9" s="1">
        <v>63</v>
      </c>
      <c r="B9" s="1">
        <v>0</v>
      </c>
    </row>
    <row r="10" spans="1:2" x14ac:dyDescent="0.2">
      <c r="A10" s="1">
        <v>80</v>
      </c>
      <c r="B10" s="1">
        <v>1</v>
      </c>
    </row>
    <row r="11" spans="1:2" x14ac:dyDescent="0.2">
      <c r="A11" s="1">
        <v>65</v>
      </c>
      <c r="B11" s="1">
        <v>1</v>
      </c>
    </row>
    <row r="12" spans="1:2" x14ac:dyDescent="0.2">
      <c r="A12" s="1">
        <v>61</v>
      </c>
      <c r="B12" s="1">
        <v>0</v>
      </c>
    </row>
    <row r="13" spans="1:2" x14ac:dyDescent="0.2">
      <c r="A13" s="1">
        <v>64</v>
      </c>
      <c r="B13" s="1">
        <v>0</v>
      </c>
    </row>
    <row r="14" spans="1:2" x14ac:dyDescent="0.2">
      <c r="A14" s="1">
        <v>70</v>
      </c>
      <c r="B14" s="1">
        <v>0</v>
      </c>
    </row>
    <row r="15" spans="1:2" x14ac:dyDescent="0.2">
      <c r="A15" s="1">
        <v>71</v>
      </c>
      <c r="B15" s="1">
        <v>1</v>
      </c>
    </row>
    <row r="16" spans="1:2" x14ac:dyDescent="0.2">
      <c r="A16" s="1">
        <v>69</v>
      </c>
      <c r="B16" s="1">
        <v>1</v>
      </c>
    </row>
    <row r="17" spans="1:2" x14ac:dyDescent="0.2">
      <c r="A17" s="1">
        <v>56</v>
      </c>
      <c r="B17" s="1">
        <v>0</v>
      </c>
    </row>
    <row r="18" spans="1:2" x14ac:dyDescent="0.2">
      <c r="A18" s="1">
        <v>68</v>
      </c>
      <c r="B18" s="1">
        <v>1</v>
      </c>
    </row>
    <row r="19" spans="1:2" x14ac:dyDescent="0.2">
      <c r="A19" s="1">
        <v>70</v>
      </c>
      <c r="B19" s="1">
        <v>1</v>
      </c>
    </row>
    <row r="20" spans="1:2" x14ac:dyDescent="0.2">
      <c r="A20" s="1">
        <v>79</v>
      </c>
      <c r="B20" s="1">
        <v>1</v>
      </c>
    </row>
    <row r="21" spans="1:2" x14ac:dyDescent="0.2">
      <c r="A21" s="1">
        <v>67</v>
      </c>
      <c r="B21" s="1">
        <v>0</v>
      </c>
    </row>
    <row r="22" spans="1:2" x14ac:dyDescent="0.2">
      <c r="A22" s="1">
        <v>68</v>
      </c>
      <c r="B22" s="1">
        <v>1</v>
      </c>
    </row>
    <row r="23" spans="1:2" x14ac:dyDescent="0.2">
      <c r="A23" s="1">
        <v>68</v>
      </c>
      <c r="B23" s="1">
        <v>0</v>
      </c>
    </row>
    <row r="24" spans="1:2" x14ac:dyDescent="0.2">
      <c r="A24" s="1">
        <v>64</v>
      </c>
      <c r="B24" s="1">
        <v>1</v>
      </c>
    </row>
    <row r="25" spans="1:2" x14ac:dyDescent="0.2">
      <c r="A25" s="1">
        <v>67</v>
      </c>
      <c r="B25" s="1">
        <v>1</v>
      </c>
    </row>
    <row r="26" spans="1:2" x14ac:dyDescent="0.2">
      <c r="A26" s="1">
        <v>64</v>
      </c>
      <c r="B26" s="1">
        <v>0</v>
      </c>
    </row>
    <row r="27" spans="1:2" x14ac:dyDescent="0.2">
      <c r="A27" s="1">
        <v>63</v>
      </c>
      <c r="B27" s="1">
        <v>1</v>
      </c>
    </row>
    <row r="28" spans="1:2" x14ac:dyDescent="0.2">
      <c r="A28" s="1">
        <v>68</v>
      </c>
      <c r="B28" s="1">
        <v>1</v>
      </c>
    </row>
    <row r="29" spans="1:2" x14ac:dyDescent="0.2">
      <c r="A29" s="1">
        <v>68</v>
      </c>
      <c r="B29" s="1">
        <v>1</v>
      </c>
    </row>
    <row r="30" spans="1:2" x14ac:dyDescent="0.2">
      <c r="A30" s="1">
        <v>74</v>
      </c>
      <c r="B30" s="1">
        <v>0</v>
      </c>
    </row>
    <row r="31" spans="1:2" x14ac:dyDescent="0.2">
      <c r="A31" s="1">
        <v>64</v>
      </c>
      <c r="B31" s="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5275-FF4D-4942-8950-833F62E971B6}">
  <dimension ref="A1:C51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4.1640625" customWidth="1"/>
    <col min="2" max="3" width="15.6640625" customWidth="1"/>
  </cols>
  <sheetData>
    <row r="1" spans="1:3" ht="16" x14ac:dyDescent="0.2">
      <c r="A1" s="12" t="s">
        <v>233</v>
      </c>
      <c r="B1" s="12" t="s">
        <v>234</v>
      </c>
      <c r="C1" s="12" t="s">
        <v>235</v>
      </c>
    </row>
    <row r="2" spans="1:3" x14ac:dyDescent="0.2">
      <c r="A2" s="1">
        <v>1</v>
      </c>
      <c r="B2" s="1">
        <v>958</v>
      </c>
      <c r="C2" s="1">
        <v>1086</v>
      </c>
    </row>
    <row r="3" spans="1:3" x14ac:dyDescent="0.2">
      <c r="A3" s="1">
        <v>2</v>
      </c>
      <c r="B3" s="1">
        <v>1034</v>
      </c>
      <c r="C3" s="1">
        <v>366</v>
      </c>
    </row>
    <row r="4" spans="1:3" x14ac:dyDescent="0.2">
      <c r="A4" s="1">
        <v>3</v>
      </c>
      <c r="B4" s="1">
        <v>978</v>
      </c>
      <c r="C4" s="1">
        <v>812</v>
      </c>
    </row>
    <row r="5" spans="1:3" x14ac:dyDescent="0.2">
      <c r="A5" s="1">
        <v>4</v>
      </c>
      <c r="B5" s="1">
        <v>562</v>
      </c>
      <c r="C5" s="1">
        <v>649</v>
      </c>
    </row>
    <row r="6" spans="1:3" x14ac:dyDescent="0.2">
      <c r="A6" s="1">
        <v>5</v>
      </c>
      <c r="B6" s="1">
        <v>647</v>
      </c>
      <c r="C6" s="1">
        <v>1205</v>
      </c>
    </row>
    <row r="7" spans="1:3" x14ac:dyDescent="0.2">
      <c r="A7" s="1">
        <v>6</v>
      </c>
      <c r="B7" s="1">
        <v>663</v>
      </c>
      <c r="C7" s="1">
        <v>1136</v>
      </c>
    </row>
    <row r="8" spans="1:3" x14ac:dyDescent="0.2">
      <c r="A8" s="1">
        <v>7</v>
      </c>
      <c r="B8" s="1">
        <v>1280</v>
      </c>
      <c r="C8" s="1">
        <v>1045</v>
      </c>
    </row>
    <row r="9" spans="1:3" x14ac:dyDescent="0.2">
      <c r="A9" s="1">
        <v>8</v>
      </c>
      <c r="B9" s="1">
        <v>883</v>
      </c>
      <c r="C9" s="1">
        <v>330</v>
      </c>
    </row>
    <row r="10" spans="1:3" x14ac:dyDescent="0.2">
      <c r="A10" s="1">
        <v>9</v>
      </c>
      <c r="B10" s="1">
        <v>1040</v>
      </c>
      <c r="C10" s="1">
        <v>1176</v>
      </c>
    </row>
    <row r="11" spans="1:3" x14ac:dyDescent="0.2">
      <c r="A11" s="1">
        <v>10</v>
      </c>
      <c r="B11" s="1">
        <v>594</v>
      </c>
      <c r="C11" s="1">
        <v>719</v>
      </c>
    </row>
    <row r="12" spans="1:3" x14ac:dyDescent="0.2">
      <c r="A12" s="1">
        <v>11</v>
      </c>
      <c r="B12" s="1">
        <v>1369</v>
      </c>
      <c r="C12" s="1">
        <v>614</v>
      </c>
    </row>
    <row r="13" spans="1:3" x14ac:dyDescent="0.2">
      <c r="A13" s="1">
        <v>12</v>
      </c>
      <c r="B13" s="1">
        <v>1066</v>
      </c>
      <c r="C13" s="1">
        <v>1216</v>
      </c>
    </row>
    <row r="14" spans="1:3" x14ac:dyDescent="0.2">
      <c r="A14" s="1">
        <v>13</v>
      </c>
      <c r="B14" s="1">
        <v>1309</v>
      </c>
      <c r="C14" s="1">
        <v>686</v>
      </c>
    </row>
    <row r="15" spans="1:3" x14ac:dyDescent="0.2">
      <c r="A15" s="1">
        <v>14</v>
      </c>
      <c r="B15" s="1">
        <v>450</v>
      </c>
      <c r="C15" s="1">
        <v>978</v>
      </c>
    </row>
    <row r="16" spans="1:3" x14ac:dyDescent="0.2">
      <c r="A16" s="1">
        <v>15</v>
      </c>
      <c r="B16" s="1">
        <v>1180</v>
      </c>
      <c r="C16" s="1">
        <v>654</v>
      </c>
    </row>
    <row r="17" spans="1:3" x14ac:dyDescent="0.2">
      <c r="A17" s="1">
        <v>16</v>
      </c>
      <c r="B17" s="1">
        <v>550</v>
      </c>
      <c r="C17" s="1">
        <v>850</v>
      </c>
    </row>
    <row r="18" spans="1:3" x14ac:dyDescent="0.2">
      <c r="A18" s="1">
        <v>17</v>
      </c>
      <c r="B18" s="1">
        <v>847</v>
      </c>
      <c r="C18" s="1">
        <v>723</v>
      </c>
    </row>
    <row r="19" spans="1:3" x14ac:dyDescent="0.2">
      <c r="A19" s="1">
        <v>18</v>
      </c>
      <c r="B19" s="1">
        <v>1386</v>
      </c>
      <c r="C19" s="1">
        <v>410</v>
      </c>
    </row>
    <row r="20" spans="1:3" x14ac:dyDescent="0.2">
      <c r="A20" s="1">
        <v>19</v>
      </c>
      <c r="B20" s="1">
        <v>1262</v>
      </c>
      <c r="C20" s="1">
        <v>1224</v>
      </c>
    </row>
    <row r="21" spans="1:3" x14ac:dyDescent="0.2">
      <c r="A21" s="1">
        <v>20</v>
      </c>
      <c r="B21" s="1">
        <v>1327</v>
      </c>
      <c r="C21" s="1">
        <v>837</v>
      </c>
    </row>
    <row r="22" spans="1:3" x14ac:dyDescent="0.2">
      <c r="A22" s="1">
        <v>21</v>
      </c>
      <c r="B22" s="1">
        <v>1176</v>
      </c>
      <c r="C22" s="1">
        <v>655</v>
      </c>
    </row>
    <row r="23" spans="1:3" x14ac:dyDescent="0.2">
      <c r="A23" s="1">
        <v>22</v>
      </c>
      <c r="B23" s="1">
        <v>1294</v>
      </c>
      <c r="C23" s="1">
        <v>381</v>
      </c>
    </row>
    <row r="24" spans="1:3" x14ac:dyDescent="0.2">
      <c r="A24" s="1">
        <v>23</v>
      </c>
      <c r="B24" s="1">
        <v>846</v>
      </c>
      <c r="C24" s="1">
        <v>570</v>
      </c>
    </row>
    <row r="25" spans="1:3" x14ac:dyDescent="0.2">
      <c r="A25" s="1">
        <v>24</v>
      </c>
      <c r="B25" s="1">
        <v>1032</v>
      </c>
      <c r="C25" s="1">
        <v>589</v>
      </c>
    </row>
    <row r="26" spans="1:3" x14ac:dyDescent="0.2">
      <c r="A26" s="1">
        <v>25</v>
      </c>
      <c r="B26" s="1">
        <v>1144</v>
      </c>
      <c r="C26" s="1">
        <v>600</v>
      </c>
    </row>
    <row r="27" spans="1:3" x14ac:dyDescent="0.2">
      <c r="A27" s="1">
        <v>26</v>
      </c>
      <c r="B27" s="1">
        <v>1078</v>
      </c>
      <c r="C27" s="1">
        <v>604</v>
      </c>
    </row>
    <row r="28" spans="1:3" x14ac:dyDescent="0.2">
      <c r="A28" s="1">
        <v>27</v>
      </c>
      <c r="B28" s="1">
        <v>1356</v>
      </c>
      <c r="C28" s="1">
        <v>918</v>
      </c>
    </row>
    <row r="29" spans="1:3" x14ac:dyDescent="0.2">
      <c r="A29" s="1">
        <v>28</v>
      </c>
      <c r="B29" s="1">
        <v>1011</v>
      </c>
      <c r="C29" s="1">
        <v>1068</v>
      </c>
    </row>
    <row r="30" spans="1:3" x14ac:dyDescent="0.2">
      <c r="A30" s="1">
        <v>29</v>
      </c>
      <c r="B30" s="1">
        <v>865</v>
      </c>
      <c r="C30" s="1">
        <v>531</v>
      </c>
    </row>
    <row r="31" spans="1:3" x14ac:dyDescent="0.2">
      <c r="A31" s="1">
        <v>30</v>
      </c>
      <c r="B31" s="1">
        <v>1306</v>
      </c>
      <c r="C31" s="1">
        <v>1191</v>
      </c>
    </row>
    <row r="32" spans="1:3" x14ac:dyDescent="0.2">
      <c r="A32" s="1">
        <v>31</v>
      </c>
      <c r="B32" s="1">
        <v>706</v>
      </c>
      <c r="C32" s="1">
        <v>805</v>
      </c>
    </row>
    <row r="33" spans="1:3" x14ac:dyDescent="0.2">
      <c r="A33" s="1">
        <v>32</v>
      </c>
      <c r="B33" s="1">
        <v>544</v>
      </c>
      <c r="C33" s="1">
        <v>870</v>
      </c>
    </row>
    <row r="34" spans="1:3" x14ac:dyDescent="0.2">
      <c r="A34" s="1">
        <v>33</v>
      </c>
      <c r="B34" s="1">
        <v>719</v>
      </c>
      <c r="C34" s="1">
        <v>1128</v>
      </c>
    </row>
    <row r="35" spans="1:3" x14ac:dyDescent="0.2">
      <c r="A35" s="1">
        <v>34</v>
      </c>
      <c r="B35" s="1">
        <v>645</v>
      </c>
      <c r="C35" s="1">
        <v>1200</v>
      </c>
    </row>
    <row r="36" spans="1:3" x14ac:dyDescent="0.2">
      <c r="A36" s="1">
        <v>35</v>
      </c>
      <c r="B36" s="1">
        <v>828</v>
      </c>
      <c r="C36" s="1">
        <v>352</v>
      </c>
    </row>
    <row r="37" spans="1:3" x14ac:dyDescent="0.2">
      <c r="A37" s="1">
        <v>36</v>
      </c>
      <c r="B37" s="1">
        <v>827</v>
      </c>
      <c r="C37" s="1">
        <v>511</v>
      </c>
    </row>
    <row r="38" spans="1:3" x14ac:dyDescent="0.2">
      <c r="A38" s="1">
        <v>37</v>
      </c>
      <c r="B38" s="1">
        <v>713</v>
      </c>
      <c r="C38" s="1">
        <v>633</v>
      </c>
    </row>
    <row r="39" spans="1:3" x14ac:dyDescent="0.2">
      <c r="A39" s="1">
        <v>38</v>
      </c>
      <c r="B39" s="1">
        <v>465</v>
      </c>
      <c r="C39" s="1">
        <v>1068</v>
      </c>
    </row>
    <row r="40" spans="1:3" x14ac:dyDescent="0.2">
      <c r="A40" s="1">
        <v>39</v>
      </c>
      <c r="B40" s="1">
        <v>659</v>
      </c>
      <c r="C40" s="1">
        <v>892</v>
      </c>
    </row>
    <row r="41" spans="1:3" x14ac:dyDescent="0.2">
      <c r="A41" s="1">
        <v>40</v>
      </c>
      <c r="B41" s="1">
        <v>1208</v>
      </c>
      <c r="C41" s="1">
        <v>395</v>
      </c>
    </row>
    <row r="42" spans="1:3" x14ac:dyDescent="0.2">
      <c r="A42" s="1">
        <v>41</v>
      </c>
      <c r="B42" s="1">
        <v>1427</v>
      </c>
      <c r="C42" s="1">
        <v>850</v>
      </c>
    </row>
    <row r="43" spans="1:3" x14ac:dyDescent="0.2">
      <c r="A43" s="1">
        <v>42</v>
      </c>
      <c r="B43" s="1">
        <v>1427</v>
      </c>
      <c r="C43" s="1">
        <v>332</v>
      </c>
    </row>
    <row r="44" spans="1:3" x14ac:dyDescent="0.2">
      <c r="A44" s="1">
        <v>43</v>
      </c>
      <c r="B44" s="1">
        <v>1285</v>
      </c>
      <c r="C44" s="1">
        <v>1001</v>
      </c>
    </row>
    <row r="45" spans="1:3" x14ac:dyDescent="0.2">
      <c r="A45" s="1">
        <v>44</v>
      </c>
      <c r="B45" s="1">
        <v>1369</v>
      </c>
      <c r="C45" s="1">
        <v>1047</v>
      </c>
    </row>
    <row r="46" spans="1:3" x14ac:dyDescent="0.2">
      <c r="A46" s="1">
        <v>45</v>
      </c>
      <c r="B46" s="1">
        <v>1071</v>
      </c>
      <c r="C46" s="1">
        <v>352</v>
      </c>
    </row>
    <row r="47" spans="1:3" x14ac:dyDescent="0.2">
      <c r="A47" s="1">
        <v>46</v>
      </c>
      <c r="B47" s="1">
        <v>1287</v>
      </c>
      <c r="C47" s="1">
        <v>771</v>
      </c>
    </row>
    <row r="48" spans="1:3" x14ac:dyDescent="0.2">
      <c r="A48" s="1">
        <v>47</v>
      </c>
      <c r="B48" s="1">
        <v>817</v>
      </c>
      <c r="C48" s="1">
        <v>786</v>
      </c>
    </row>
    <row r="49" spans="1:3" x14ac:dyDescent="0.2">
      <c r="A49" s="1">
        <v>48</v>
      </c>
      <c r="B49" s="1">
        <v>934</v>
      </c>
      <c r="C49" s="1">
        <v>407</v>
      </c>
    </row>
    <row r="50" spans="1:3" x14ac:dyDescent="0.2">
      <c r="A50" s="1">
        <v>49</v>
      </c>
      <c r="B50" s="1">
        <v>693</v>
      </c>
      <c r="C50" s="1">
        <v>1238</v>
      </c>
    </row>
    <row r="51" spans="1:3" x14ac:dyDescent="0.2">
      <c r="A51" s="1">
        <v>50</v>
      </c>
      <c r="B51" s="1">
        <v>1161</v>
      </c>
      <c r="C51" s="1">
        <v>964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1"/>
  <sheetViews>
    <sheetView zoomScaleNormal="100" workbookViewId="0">
      <selection activeCell="H11" sqref="H11"/>
    </sheetView>
  </sheetViews>
  <sheetFormatPr baseColWidth="10" defaultColWidth="8.83203125" defaultRowHeight="15" x14ac:dyDescent="0.2"/>
  <cols>
    <col min="2" max="2" width="14.33203125" style="11" customWidth="1"/>
  </cols>
  <sheetData>
    <row r="1" spans="1:6" x14ac:dyDescent="0.2">
      <c r="A1" t="s">
        <v>210</v>
      </c>
      <c r="B1" s="11" t="s">
        <v>199</v>
      </c>
    </row>
    <row r="2" spans="1:6" x14ac:dyDescent="0.2">
      <c r="A2">
        <v>1</v>
      </c>
      <c r="B2" s="11">
        <v>1272</v>
      </c>
    </row>
    <row r="3" spans="1:6" x14ac:dyDescent="0.2">
      <c r="A3">
        <v>2</v>
      </c>
      <c r="B3" s="11">
        <v>1089</v>
      </c>
      <c r="E3" t="s">
        <v>251</v>
      </c>
      <c r="F3">
        <f>AVERAGE(B2:B101)</f>
        <v>1306.94</v>
      </c>
    </row>
    <row r="4" spans="1:6" x14ac:dyDescent="0.2">
      <c r="A4">
        <v>3</v>
      </c>
      <c r="B4" s="11">
        <v>1169</v>
      </c>
      <c r="E4" t="s">
        <v>252</v>
      </c>
      <c r="F4">
        <f>STDEV(B2:B101)</f>
        <v>336.13545910642443</v>
      </c>
    </row>
    <row r="5" spans="1:6" x14ac:dyDescent="0.2">
      <c r="A5">
        <v>4</v>
      </c>
      <c r="B5" s="11">
        <v>1161</v>
      </c>
      <c r="E5" t="s">
        <v>253</v>
      </c>
      <c r="F5">
        <v>100</v>
      </c>
    </row>
    <row r="6" spans="1:6" x14ac:dyDescent="0.2">
      <c r="A6">
        <v>5</v>
      </c>
      <c r="B6" s="11">
        <v>1286</v>
      </c>
      <c r="E6" t="s">
        <v>254</v>
      </c>
      <c r="F6">
        <f>F4/F5</f>
        <v>3.3613545910642442</v>
      </c>
    </row>
    <row r="7" spans="1:6" x14ac:dyDescent="0.2">
      <c r="A7">
        <v>6</v>
      </c>
      <c r="B7" s="11">
        <v>1178</v>
      </c>
      <c r="E7" t="s">
        <v>255</v>
      </c>
      <c r="F7">
        <v>1.984</v>
      </c>
    </row>
    <row r="8" spans="1:6" x14ac:dyDescent="0.2">
      <c r="A8">
        <v>7</v>
      </c>
      <c r="B8" s="11">
        <v>658</v>
      </c>
    </row>
    <row r="9" spans="1:6" x14ac:dyDescent="0.2">
      <c r="A9">
        <v>8</v>
      </c>
      <c r="B9" s="11">
        <v>1685</v>
      </c>
    </row>
    <row r="10" spans="1:6" x14ac:dyDescent="0.2">
      <c r="A10">
        <v>9</v>
      </c>
      <c r="B10" s="11">
        <v>587</v>
      </c>
    </row>
    <row r="11" spans="1:6" x14ac:dyDescent="0.2">
      <c r="A11">
        <v>10</v>
      </c>
      <c r="B11" s="11">
        <v>1284</v>
      </c>
    </row>
    <row r="12" spans="1:6" x14ac:dyDescent="0.2">
      <c r="A12">
        <v>11</v>
      </c>
      <c r="B12" s="11">
        <v>1786</v>
      </c>
    </row>
    <row r="13" spans="1:6" x14ac:dyDescent="0.2">
      <c r="A13">
        <v>12</v>
      </c>
      <c r="B13" s="11">
        <v>1379</v>
      </c>
    </row>
    <row r="14" spans="1:6" x14ac:dyDescent="0.2">
      <c r="A14">
        <v>13</v>
      </c>
      <c r="B14" s="11">
        <v>1617</v>
      </c>
    </row>
    <row r="15" spans="1:6" x14ac:dyDescent="0.2">
      <c r="A15">
        <v>14</v>
      </c>
      <c r="B15" s="11">
        <v>1485</v>
      </c>
    </row>
    <row r="16" spans="1:6" x14ac:dyDescent="0.2">
      <c r="A16">
        <v>15</v>
      </c>
      <c r="B16" s="11">
        <v>1609</v>
      </c>
    </row>
    <row r="17" spans="1:2" x14ac:dyDescent="0.2">
      <c r="A17">
        <v>16</v>
      </c>
      <c r="B17" s="11">
        <v>1612</v>
      </c>
    </row>
    <row r="18" spans="1:2" x14ac:dyDescent="0.2">
      <c r="A18">
        <v>17</v>
      </c>
      <c r="B18" s="11">
        <v>1290</v>
      </c>
    </row>
    <row r="19" spans="1:2" x14ac:dyDescent="0.2">
      <c r="A19">
        <v>18</v>
      </c>
      <c r="B19" s="11">
        <v>715</v>
      </c>
    </row>
    <row r="20" spans="1:2" x14ac:dyDescent="0.2">
      <c r="A20">
        <v>19</v>
      </c>
      <c r="B20" s="11">
        <v>1261</v>
      </c>
    </row>
    <row r="21" spans="1:2" x14ac:dyDescent="0.2">
      <c r="A21">
        <v>20</v>
      </c>
      <c r="B21" s="11">
        <v>1249</v>
      </c>
    </row>
    <row r="22" spans="1:2" x14ac:dyDescent="0.2">
      <c r="A22">
        <v>21</v>
      </c>
      <c r="B22" s="11">
        <v>931</v>
      </c>
    </row>
    <row r="23" spans="1:2" x14ac:dyDescent="0.2">
      <c r="A23">
        <v>22</v>
      </c>
      <c r="B23" s="11">
        <v>1319</v>
      </c>
    </row>
    <row r="24" spans="1:2" x14ac:dyDescent="0.2">
      <c r="A24">
        <v>23</v>
      </c>
      <c r="B24" s="11">
        <v>1246</v>
      </c>
    </row>
    <row r="25" spans="1:2" x14ac:dyDescent="0.2">
      <c r="A25">
        <v>24</v>
      </c>
      <c r="B25" s="11">
        <v>1130</v>
      </c>
    </row>
    <row r="26" spans="1:2" x14ac:dyDescent="0.2">
      <c r="A26">
        <v>25</v>
      </c>
      <c r="B26" s="11">
        <v>1271</v>
      </c>
    </row>
    <row r="27" spans="1:2" x14ac:dyDescent="0.2">
      <c r="A27">
        <v>26</v>
      </c>
      <c r="B27" s="11">
        <v>1627</v>
      </c>
    </row>
    <row r="28" spans="1:2" x14ac:dyDescent="0.2">
      <c r="A28">
        <v>27</v>
      </c>
      <c r="B28" s="11">
        <v>1625</v>
      </c>
    </row>
    <row r="29" spans="1:2" x14ac:dyDescent="0.2">
      <c r="A29">
        <v>28</v>
      </c>
      <c r="B29" s="11">
        <v>1565</v>
      </c>
    </row>
    <row r="30" spans="1:2" x14ac:dyDescent="0.2">
      <c r="A30">
        <v>29</v>
      </c>
      <c r="B30" s="11">
        <v>2026</v>
      </c>
    </row>
    <row r="31" spans="1:2" x14ac:dyDescent="0.2">
      <c r="A31">
        <v>30</v>
      </c>
      <c r="B31" s="11">
        <v>1078</v>
      </c>
    </row>
    <row r="32" spans="1:2" x14ac:dyDescent="0.2">
      <c r="A32">
        <v>31</v>
      </c>
      <c r="B32" s="11">
        <v>751</v>
      </c>
    </row>
    <row r="33" spans="1:2" x14ac:dyDescent="0.2">
      <c r="A33">
        <v>32</v>
      </c>
      <c r="B33" s="11">
        <v>645</v>
      </c>
    </row>
    <row r="34" spans="1:2" x14ac:dyDescent="0.2">
      <c r="A34">
        <v>33</v>
      </c>
      <c r="B34" s="11">
        <v>1351</v>
      </c>
    </row>
    <row r="35" spans="1:2" x14ac:dyDescent="0.2">
      <c r="A35">
        <v>34</v>
      </c>
      <c r="B35" s="11">
        <v>1664</v>
      </c>
    </row>
    <row r="36" spans="1:2" x14ac:dyDescent="0.2">
      <c r="A36">
        <v>35</v>
      </c>
      <c r="B36" s="11">
        <v>887</v>
      </c>
    </row>
    <row r="37" spans="1:2" x14ac:dyDescent="0.2">
      <c r="A37">
        <v>36</v>
      </c>
      <c r="B37" s="11">
        <v>1091</v>
      </c>
    </row>
    <row r="38" spans="1:2" x14ac:dyDescent="0.2">
      <c r="A38">
        <v>37</v>
      </c>
      <c r="B38" s="11">
        <v>1203</v>
      </c>
    </row>
    <row r="39" spans="1:2" x14ac:dyDescent="0.2">
      <c r="A39">
        <v>38</v>
      </c>
      <c r="B39" s="11">
        <v>899</v>
      </c>
    </row>
    <row r="40" spans="1:2" x14ac:dyDescent="0.2">
      <c r="A40">
        <v>39</v>
      </c>
      <c r="B40" s="11">
        <v>1165</v>
      </c>
    </row>
    <row r="41" spans="1:2" x14ac:dyDescent="0.2">
      <c r="A41">
        <v>40</v>
      </c>
      <c r="B41" s="11">
        <v>1573</v>
      </c>
    </row>
    <row r="42" spans="1:2" x14ac:dyDescent="0.2">
      <c r="A42">
        <v>41</v>
      </c>
      <c r="B42" s="11">
        <v>994</v>
      </c>
    </row>
    <row r="43" spans="1:2" x14ac:dyDescent="0.2">
      <c r="A43">
        <v>42</v>
      </c>
      <c r="B43" s="11">
        <v>1937</v>
      </c>
    </row>
    <row r="44" spans="1:2" x14ac:dyDescent="0.2">
      <c r="A44">
        <v>43</v>
      </c>
      <c r="B44" s="11">
        <v>1456</v>
      </c>
    </row>
    <row r="45" spans="1:2" x14ac:dyDescent="0.2">
      <c r="A45">
        <v>44</v>
      </c>
      <c r="B45" s="11">
        <v>1166</v>
      </c>
    </row>
    <row r="46" spans="1:2" x14ac:dyDescent="0.2">
      <c r="A46">
        <v>45</v>
      </c>
      <c r="B46" s="11">
        <v>1269</v>
      </c>
    </row>
    <row r="47" spans="1:2" x14ac:dyDescent="0.2">
      <c r="A47">
        <v>46</v>
      </c>
      <c r="B47" s="11">
        <v>1289</v>
      </c>
    </row>
    <row r="48" spans="1:2" x14ac:dyDescent="0.2">
      <c r="A48">
        <v>47</v>
      </c>
      <c r="B48" s="11">
        <v>1067</v>
      </c>
    </row>
    <row r="49" spans="1:2" x14ac:dyDescent="0.2">
      <c r="A49">
        <v>48</v>
      </c>
      <c r="B49" s="11">
        <v>1625</v>
      </c>
    </row>
    <row r="50" spans="1:2" x14ac:dyDescent="0.2">
      <c r="A50">
        <v>49</v>
      </c>
      <c r="B50" s="11">
        <v>805</v>
      </c>
    </row>
    <row r="51" spans="1:2" x14ac:dyDescent="0.2">
      <c r="A51">
        <v>50</v>
      </c>
      <c r="B51" s="11">
        <v>1462</v>
      </c>
    </row>
    <row r="52" spans="1:2" x14ac:dyDescent="0.2">
      <c r="A52">
        <v>51</v>
      </c>
      <c r="B52" s="11">
        <v>1653</v>
      </c>
    </row>
    <row r="53" spans="1:2" x14ac:dyDescent="0.2">
      <c r="A53">
        <v>52</v>
      </c>
      <c r="B53" s="11">
        <v>1942</v>
      </c>
    </row>
    <row r="54" spans="1:2" x14ac:dyDescent="0.2">
      <c r="A54">
        <v>53</v>
      </c>
      <c r="B54" s="11">
        <v>942</v>
      </c>
    </row>
    <row r="55" spans="1:2" x14ac:dyDescent="0.2">
      <c r="A55">
        <v>54</v>
      </c>
      <c r="B55" s="11">
        <v>1713</v>
      </c>
    </row>
    <row r="56" spans="1:2" x14ac:dyDescent="0.2">
      <c r="A56">
        <v>55</v>
      </c>
      <c r="B56" s="11">
        <v>1621</v>
      </c>
    </row>
    <row r="57" spans="1:2" x14ac:dyDescent="0.2">
      <c r="A57">
        <v>56</v>
      </c>
      <c r="B57" s="11">
        <v>1472</v>
      </c>
    </row>
    <row r="58" spans="1:2" x14ac:dyDescent="0.2">
      <c r="A58">
        <v>57</v>
      </c>
      <c r="B58" s="11">
        <v>1274</v>
      </c>
    </row>
    <row r="59" spans="1:2" x14ac:dyDescent="0.2">
      <c r="A59">
        <v>58</v>
      </c>
      <c r="B59" s="11">
        <v>1378</v>
      </c>
    </row>
    <row r="60" spans="1:2" x14ac:dyDescent="0.2">
      <c r="A60">
        <v>59</v>
      </c>
      <c r="B60" s="11">
        <v>1272</v>
      </c>
    </row>
    <row r="61" spans="1:2" x14ac:dyDescent="0.2">
      <c r="A61">
        <v>60</v>
      </c>
      <c r="B61" s="11">
        <v>1142</v>
      </c>
    </row>
    <row r="62" spans="1:2" x14ac:dyDescent="0.2">
      <c r="A62">
        <v>61</v>
      </c>
      <c r="B62" s="11">
        <v>1175</v>
      </c>
    </row>
    <row r="63" spans="1:2" x14ac:dyDescent="0.2">
      <c r="A63">
        <v>62</v>
      </c>
      <c r="B63" s="11">
        <v>1412</v>
      </c>
    </row>
    <row r="64" spans="1:2" x14ac:dyDescent="0.2">
      <c r="A64">
        <v>63</v>
      </c>
      <c r="B64" s="11">
        <v>1493</v>
      </c>
    </row>
    <row r="65" spans="1:2" x14ac:dyDescent="0.2">
      <c r="A65">
        <v>64</v>
      </c>
      <c r="B65" s="11">
        <v>774</v>
      </c>
    </row>
    <row r="66" spans="1:2" x14ac:dyDescent="0.2">
      <c r="A66">
        <v>65</v>
      </c>
      <c r="B66" s="11">
        <v>597</v>
      </c>
    </row>
    <row r="67" spans="1:2" x14ac:dyDescent="0.2">
      <c r="A67">
        <v>66</v>
      </c>
      <c r="B67" s="11">
        <v>991</v>
      </c>
    </row>
    <row r="68" spans="1:2" x14ac:dyDescent="0.2">
      <c r="A68">
        <v>67</v>
      </c>
      <c r="B68" s="11">
        <v>926</v>
      </c>
    </row>
    <row r="69" spans="1:2" x14ac:dyDescent="0.2">
      <c r="A69">
        <v>68</v>
      </c>
      <c r="B69" s="11">
        <v>467</v>
      </c>
    </row>
    <row r="70" spans="1:2" x14ac:dyDescent="0.2">
      <c r="A70">
        <v>69</v>
      </c>
      <c r="B70" s="11">
        <v>1578</v>
      </c>
    </row>
    <row r="71" spans="1:2" x14ac:dyDescent="0.2">
      <c r="A71">
        <v>70</v>
      </c>
      <c r="B71" s="11">
        <v>1797</v>
      </c>
    </row>
    <row r="72" spans="1:2" x14ac:dyDescent="0.2">
      <c r="A72">
        <v>71</v>
      </c>
      <c r="B72" s="11">
        <v>1798</v>
      </c>
    </row>
    <row r="73" spans="1:2" x14ac:dyDescent="0.2">
      <c r="A73">
        <v>72</v>
      </c>
      <c r="B73" s="11">
        <v>1604</v>
      </c>
    </row>
    <row r="74" spans="1:2" x14ac:dyDescent="0.2">
      <c r="A74">
        <v>73</v>
      </c>
      <c r="B74" s="11">
        <v>1586</v>
      </c>
    </row>
    <row r="75" spans="1:2" x14ac:dyDescent="0.2">
      <c r="A75">
        <v>74</v>
      </c>
      <c r="B75" s="11">
        <v>1169</v>
      </c>
    </row>
    <row r="76" spans="1:2" x14ac:dyDescent="0.2">
      <c r="A76">
        <v>75</v>
      </c>
      <c r="B76" s="11">
        <v>1375</v>
      </c>
    </row>
    <row r="77" spans="1:2" x14ac:dyDescent="0.2">
      <c r="A77">
        <v>76</v>
      </c>
      <c r="B77" s="11">
        <v>1344</v>
      </c>
    </row>
    <row r="78" spans="1:2" x14ac:dyDescent="0.2">
      <c r="A78">
        <v>77</v>
      </c>
      <c r="B78" s="11">
        <v>1436</v>
      </c>
    </row>
    <row r="79" spans="1:2" x14ac:dyDescent="0.2">
      <c r="A79">
        <v>78</v>
      </c>
      <c r="B79" s="11">
        <v>2116</v>
      </c>
    </row>
    <row r="80" spans="1:2" x14ac:dyDescent="0.2">
      <c r="A80">
        <v>79</v>
      </c>
      <c r="B80" s="11">
        <v>1321</v>
      </c>
    </row>
    <row r="81" spans="1:2" x14ac:dyDescent="0.2">
      <c r="A81">
        <v>80</v>
      </c>
      <c r="B81" s="11">
        <v>1237</v>
      </c>
    </row>
    <row r="82" spans="1:2" x14ac:dyDescent="0.2">
      <c r="A82">
        <v>81</v>
      </c>
      <c r="B82" s="11">
        <v>1665</v>
      </c>
    </row>
    <row r="83" spans="1:2" x14ac:dyDescent="0.2">
      <c r="A83">
        <v>82</v>
      </c>
      <c r="B83" s="11">
        <v>1564</v>
      </c>
    </row>
    <row r="84" spans="1:2" x14ac:dyDescent="0.2">
      <c r="A84">
        <v>83</v>
      </c>
      <c r="B84" s="11">
        <v>1127</v>
      </c>
    </row>
    <row r="85" spans="1:2" x14ac:dyDescent="0.2">
      <c r="A85">
        <v>84</v>
      </c>
      <c r="B85" s="11">
        <v>1673</v>
      </c>
    </row>
    <row r="86" spans="1:2" x14ac:dyDescent="0.2">
      <c r="A86">
        <v>85</v>
      </c>
      <c r="B86" s="11">
        <v>1094</v>
      </c>
    </row>
    <row r="87" spans="1:2" x14ac:dyDescent="0.2">
      <c r="A87">
        <v>86</v>
      </c>
      <c r="B87" s="11">
        <v>1180</v>
      </c>
    </row>
    <row r="88" spans="1:2" x14ac:dyDescent="0.2">
      <c r="A88">
        <v>87</v>
      </c>
      <c r="B88" s="11">
        <v>1781</v>
      </c>
    </row>
    <row r="89" spans="1:2" x14ac:dyDescent="0.2">
      <c r="A89">
        <v>88</v>
      </c>
      <c r="B89" s="11">
        <v>1606</v>
      </c>
    </row>
    <row r="90" spans="1:2" x14ac:dyDescent="0.2">
      <c r="A90">
        <v>89</v>
      </c>
      <c r="B90" s="11">
        <v>1185</v>
      </c>
    </row>
    <row r="91" spans="1:2" x14ac:dyDescent="0.2">
      <c r="A91">
        <v>90</v>
      </c>
      <c r="B91" s="11">
        <v>1515</v>
      </c>
    </row>
    <row r="92" spans="1:2" x14ac:dyDescent="0.2">
      <c r="A92">
        <v>91</v>
      </c>
      <c r="B92" s="11">
        <v>1383</v>
      </c>
    </row>
    <row r="93" spans="1:2" x14ac:dyDescent="0.2">
      <c r="A93">
        <v>92</v>
      </c>
      <c r="B93" s="11">
        <v>1494</v>
      </c>
    </row>
    <row r="94" spans="1:2" x14ac:dyDescent="0.2">
      <c r="A94">
        <v>93</v>
      </c>
      <c r="B94" s="11">
        <v>892</v>
      </c>
    </row>
    <row r="95" spans="1:2" x14ac:dyDescent="0.2">
      <c r="A95">
        <v>94</v>
      </c>
      <c r="B95" s="11">
        <v>878</v>
      </c>
    </row>
    <row r="96" spans="1:2" x14ac:dyDescent="0.2">
      <c r="A96">
        <v>95</v>
      </c>
      <c r="B96" s="11">
        <v>1487</v>
      </c>
    </row>
    <row r="97" spans="1:2" x14ac:dyDescent="0.2">
      <c r="A97">
        <v>96</v>
      </c>
      <c r="B97" s="11">
        <v>1039</v>
      </c>
    </row>
    <row r="98" spans="1:2" x14ac:dyDescent="0.2">
      <c r="A98">
        <v>97</v>
      </c>
      <c r="B98" s="11">
        <v>934</v>
      </c>
    </row>
    <row r="99" spans="1:2" x14ac:dyDescent="0.2">
      <c r="A99">
        <v>98</v>
      </c>
      <c r="B99" s="11">
        <v>1153</v>
      </c>
    </row>
    <row r="100" spans="1:2" x14ac:dyDescent="0.2">
      <c r="A100">
        <v>99</v>
      </c>
      <c r="B100" s="11">
        <v>1561</v>
      </c>
    </row>
    <row r="101" spans="1:2" x14ac:dyDescent="0.2">
      <c r="A101">
        <v>100</v>
      </c>
      <c r="B101" s="11">
        <v>1389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D998-46B3-4EDF-96E4-7870BFCD3F5F}">
  <dimension ref="A1:C10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3" ht="16" x14ac:dyDescent="0.2">
      <c r="A1" s="14" t="s">
        <v>190</v>
      </c>
      <c r="B1" s="14" t="s">
        <v>236</v>
      </c>
      <c r="C1" s="14" t="s">
        <v>237</v>
      </c>
    </row>
    <row r="2" spans="1:3" x14ac:dyDescent="0.2">
      <c r="A2" s="14">
        <v>1</v>
      </c>
      <c r="B2" s="14">
        <v>-14.23</v>
      </c>
      <c r="C2" s="14">
        <v>-21.89</v>
      </c>
    </row>
    <row r="3" spans="1:3" x14ac:dyDescent="0.2">
      <c r="A3" s="14">
        <v>2</v>
      </c>
      <c r="B3" s="14">
        <v>-50.54</v>
      </c>
      <c r="C3" s="14">
        <v>-30.4</v>
      </c>
    </row>
    <row r="4" spans="1:3" x14ac:dyDescent="0.2">
      <c r="A4" s="14">
        <v>3</v>
      </c>
      <c r="B4" s="14">
        <v>71.89</v>
      </c>
      <c r="C4" s="14">
        <v>26.42</v>
      </c>
    </row>
    <row r="5" spans="1:3" x14ac:dyDescent="0.2">
      <c r="A5" s="14">
        <v>4</v>
      </c>
      <c r="B5" s="14">
        <v>-9.81</v>
      </c>
      <c r="C5" s="14">
        <v>24.22</v>
      </c>
    </row>
    <row r="6" spans="1:3" x14ac:dyDescent="0.2">
      <c r="A6" s="14">
        <v>5</v>
      </c>
      <c r="B6" s="14">
        <v>15.75</v>
      </c>
      <c r="C6" s="14">
        <v>9.36</v>
      </c>
    </row>
    <row r="7" spans="1:3" x14ac:dyDescent="0.2">
      <c r="A7" s="14">
        <v>6</v>
      </c>
      <c r="B7" s="14">
        <v>0.3</v>
      </c>
      <c r="C7" s="14">
        <v>30.08</v>
      </c>
    </row>
    <row r="8" spans="1:3" x14ac:dyDescent="0.2">
      <c r="A8" s="14">
        <v>7</v>
      </c>
      <c r="B8" s="14">
        <v>4.67</v>
      </c>
      <c r="C8" s="14">
        <v>18.13</v>
      </c>
    </row>
    <row r="9" spans="1:3" x14ac:dyDescent="0.2">
      <c r="A9" s="14">
        <v>8</v>
      </c>
      <c r="B9" s="14">
        <v>-49.87</v>
      </c>
      <c r="C9" s="14">
        <v>-36</v>
      </c>
    </row>
    <row r="10" spans="1:3" x14ac:dyDescent="0.2">
      <c r="A10" s="14">
        <v>9</v>
      </c>
      <c r="B10" s="14">
        <v>84.99</v>
      </c>
      <c r="C10" s="14">
        <v>14.39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4837-EC8C-4F28-9AB4-9A949976072D}">
  <dimension ref="A1:C13"/>
  <sheetViews>
    <sheetView workbookViewId="0">
      <selection activeCell="G13" sqref="G13"/>
    </sheetView>
  </sheetViews>
  <sheetFormatPr baseColWidth="10" defaultColWidth="8.83203125" defaultRowHeight="15" x14ac:dyDescent="0.2"/>
  <sheetData>
    <row r="1" spans="1:3" x14ac:dyDescent="0.2">
      <c r="A1" s="1" t="s">
        <v>230</v>
      </c>
      <c r="B1" s="1" t="s">
        <v>231</v>
      </c>
      <c r="C1" s="1" t="s">
        <v>232</v>
      </c>
    </row>
    <row r="2" spans="1:3" x14ac:dyDescent="0.2">
      <c r="A2" s="1">
        <v>1</v>
      </c>
      <c r="B2" s="1">
        <v>100</v>
      </c>
      <c r="C2" s="1">
        <v>98</v>
      </c>
    </row>
    <row r="3" spans="1:3" x14ac:dyDescent="0.2">
      <c r="A3" s="1">
        <v>2</v>
      </c>
      <c r="B3" s="1">
        <v>90</v>
      </c>
      <c r="C3" s="1">
        <v>88</v>
      </c>
    </row>
    <row r="4" spans="1:3" x14ac:dyDescent="0.2">
      <c r="A4" s="1">
        <v>3</v>
      </c>
      <c r="B4" s="1">
        <v>94</v>
      </c>
      <c r="C4" s="1">
        <v>90</v>
      </c>
    </row>
    <row r="5" spans="1:3" x14ac:dyDescent="0.2">
      <c r="A5" s="1">
        <v>4</v>
      </c>
      <c r="B5" s="1">
        <v>85</v>
      </c>
      <c r="C5" s="1">
        <v>86</v>
      </c>
    </row>
    <row r="6" spans="1:3" x14ac:dyDescent="0.2">
      <c r="A6" s="1">
        <v>5</v>
      </c>
      <c r="B6" s="1">
        <v>70</v>
      </c>
      <c r="C6" s="1">
        <v>67</v>
      </c>
    </row>
    <row r="7" spans="1:3" x14ac:dyDescent="0.2">
      <c r="A7" s="1">
        <v>6</v>
      </c>
      <c r="B7" s="1">
        <v>83</v>
      </c>
      <c r="C7" s="1">
        <v>80</v>
      </c>
    </row>
    <row r="8" spans="1:3" x14ac:dyDescent="0.2">
      <c r="A8" s="1">
        <v>7</v>
      </c>
      <c r="B8" s="1">
        <v>88</v>
      </c>
      <c r="C8" s="1">
        <v>90</v>
      </c>
    </row>
    <row r="9" spans="1:3" x14ac:dyDescent="0.2">
      <c r="A9" s="1">
        <v>8</v>
      </c>
      <c r="B9" s="1">
        <v>75</v>
      </c>
      <c r="C9" s="1">
        <v>70</v>
      </c>
    </row>
    <row r="10" spans="1:3" x14ac:dyDescent="0.2">
      <c r="A10" s="1">
        <v>9</v>
      </c>
      <c r="B10" s="1">
        <v>65</v>
      </c>
      <c r="C10" s="1">
        <v>62</v>
      </c>
    </row>
    <row r="11" spans="1:3" x14ac:dyDescent="0.2">
      <c r="A11" s="1">
        <v>10</v>
      </c>
      <c r="B11" s="1">
        <v>58</v>
      </c>
      <c r="C11" s="1">
        <v>60</v>
      </c>
    </row>
    <row r="12" spans="1:3" x14ac:dyDescent="0.2">
      <c r="A12" s="1">
        <v>11</v>
      </c>
      <c r="B12" s="1">
        <v>67</v>
      </c>
      <c r="C12" s="1">
        <v>60</v>
      </c>
    </row>
    <row r="13" spans="1:3" x14ac:dyDescent="0.2">
      <c r="A13" s="1">
        <v>12</v>
      </c>
      <c r="B13" s="1">
        <v>104</v>
      </c>
      <c r="C13" s="1">
        <v>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D876-56C5-4319-BF2D-82EBB905EECA}">
  <dimension ref="A1:B41"/>
  <sheetViews>
    <sheetView workbookViewId="0">
      <selection activeCell="G10" sqref="G10"/>
    </sheetView>
  </sheetViews>
  <sheetFormatPr baseColWidth="10" defaultColWidth="8.83203125" defaultRowHeight="15" x14ac:dyDescent="0.2"/>
  <cols>
    <col min="1" max="2" width="12.6640625" style="1" customWidth="1"/>
  </cols>
  <sheetData>
    <row r="1" spans="1:2" x14ac:dyDescent="0.2">
      <c r="A1" s="1" t="s">
        <v>226</v>
      </c>
      <c r="B1" s="1" t="s">
        <v>227</v>
      </c>
    </row>
    <row r="2" spans="1:2" x14ac:dyDescent="0.2">
      <c r="A2" s="1">
        <v>35000</v>
      </c>
      <c r="B2" s="1">
        <v>34000</v>
      </c>
    </row>
    <row r="3" spans="1:2" x14ac:dyDescent="0.2">
      <c r="A3" s="1">
        <v>56000</v>
      </c>
      <c r="B3" s="1">
        <v>62000</v>
      </c>
    </row>
    <row r="4" spans="1:2" x14ac:dyDescent="0.2">
      <c r="A4" s="1">
        <v>49000</v>
      </c>
      <c r="B4" s="1">
        <v>36000</v>
      </c>
    </row>
    <row r="5" spans="1:2" x14ac:dyDescent="0.2">
      <c r="A5" s="1">
        <v>52000</v>
      </c>
      <c r="B5" s="1">
        <v>45000</v>
      </c>
    </row>
    <row r="6" spans="1:2" x14ac:dyDescent="0.2">
      <c r="A6" s="1">
        <v>47000</v>
      </c>
      <c r="B6" s="1">
        <v>68000</v>
      </c>
    </row>
    <row r="7" spans="1:2" x14ac:dyDescent="0.2">
      <c r="A7" s="1">
        <v>48000</v>
      </c>
      <c r="B7" s="1">
        <v>36000</v>
      </c>
    </row>
    <row r="8" spans="1:2" x14ac:dyDescent="0.2">
      <c r="A8" s="1">
        <v>59000</v>
      </c>
      <c r="B8" s="1">
        <v>41000</v>
      </c>
    </row>
    <row r="9" spans="1:2" x14ac:dyDescent="0.2">
      <c r="A9" s="1">
        <v>48000</v>
      </c>
      <c r="B9" s="1">
        <v>69000</v>
      </c>
    </row>
    <row r="10" spans="1:2" x14ac:dyDescent="0.2">
      <c r="A10" s="1">
        <v>52000</v>
      </c>
      <c r="B10" s="1">
        <v>67000</v>
      </c>
    </row>
    <row r="11" spans="1:2" x14ac:dyDescent="0.2">
      <c r="A11" s="1">
        <v>45000</v>
      </c>
      <c r="B11" s="1">
        <v>41000</v>
      </c>
    </row>
    <row r="12" spans="1:2" x14ac:dyDescent="0.2">
      <c r="A12" s="1">
        <v>65000</v>
      </c>
      <c r="B12" s="1">
        <v>69000</v>
      </c>
    </row>
    <row r="13" spans="1:2" x14ac:dyDescent="0.2">
      <c r="A13" s="1">
        <v>52000</v>
      </c>
      <c r="B13" s="1">
        <v>26000</v>
      </c>
    </row>
    <row r="14" spans="1:2" x14ac:dyDescent="0.2">
      <c r="A14" s="1">
        <v>36000</v>
      </c>
      <c r="B14" s="1">
        <v>29000</v>
      </c>
    </row>
    <row r="15" spans="1:2" x14ac:dyDescent="0.2">
      <c r="A15" s="1">
        <v>44000</v>
      </c>
      <c r="B15" s="1">
        <v>50000</v>
      </c>
    </row>
    <row r="16" spans="1:2" x14ac:dyDescent="0.2">
      <c r="A16" s="1">
        <v>41000</v>
      </c>
      <c r="B16" s="1">
        <v>56000</v>
      </c>
    </row>
    <row r="17" spans="1:2" x14ac:dyDescent="0.2">
      <c r="A17" s="1">
        <v>44000</v>
      </c>
      <c r="B17" s="1">
        <v>9000</v>
      </c>
    </row>
    <row r="18" spans="1:2" x14ac:dyDescent="0.2">
      <c r="A18" s="1">
        <v>54000</v>
      </c>
      <c r="B18" s="1">
        <v>34000</v>
      </c>
    </row>
    <row r="19" spans="1:2" x14ac:dyDescent="0.2">
      <c r="A19" s="1">
        <v>38000</v>
      </c>
      <c r="B19" s="1">
        <v>67000</v>
      </c>
    </row>
    <row r="20" spans="1:2" x14ac:dyDescent="0.2">
      <c r="A20" s="1">
        <v>55000</v>
      </c>
      <c r="B20" s="1">
        <v>46000</v>
      </c>
    </row>
    <row r="21" spans="1:2" x14ac:dyDescent="0.2">
      <c r="A21" s="1">
        <v>48000</v>
      </c>
      <c r="B21" s="1">
        <v>27000</v>
      </c>
    </row>
    <row r="22" spans="1:2" x14ac:dyDescent="0.2">
      <c r="A22" s="1">
        <v>47000</v>
      </c>
      <c r="B22" s="1">
        <v>49000</v>
      </c>
    </row>
    <row r="23" spans="1:2" x14ac:dyDescent="0.2">
      <c r="A23" s="1">
        <v>45000</v>
      </c>
      <c r="B23" s="1">
        <v>39000</v>
      </c>
    </row>
    <row r="24" spans="1:2" x14ac:dyDescent="0.2">
      <c r="A24" s="1">
        <v>36000</v>
      </c>
      <c r="B24" s="1">
        <v>48000</v>
      </c>
    </row>
    <row r="25" spans="1:2" x14ac:dyDescent="0.2">
      <c r="A25" s="1">
        <v>50000</v>
      </c>
      <c r="B25" s="1">
        <v>65000</v>
      </c>
    </row>
    <row r="26" spans="1:2" x14ac:dyDescent="0.2">
      <c r="A26" s="1">
        <v>49000</v>
      </c>
      <c r="B26" s="1">
        <v>68000</v>
      </c>
    </row>
    <row r="27" spans="1:2" x14ac:dyDescent="0.2">
      <c r="A27" s="1">
        <v>39000</v>
      </c>
      <c r="B27" s="1">
        <v>53000</v>
      </c>
    </row>
    <row r="28" spans="1:2" x14ac:dyDescent="0.2">
      <c r="A28" s="1">
        <v>28000</v>
      </c>
      <c r="B28" s="1">
        <v>64000</v>
      </c>
    </row>
    <row r="29" spans="1:2" x14ac:dyDescent="0.2">
      <c r="A29" s="1">
        <v>56000</v>
      </c>
      <c r="B29" s="1">
        <v>43000</v>
      </c>
    </row>
    <row r="30" spans="1:2" x14ac:dyDescent="0.2">
      <c r="A30" s="1">
        <v>55000</v>
      </c>
      <c r="B30" s="1">
        <v>63000</v>
      </c>
    </row>
    <row r="31" spans="1:2" x14ac:dyDescent="0.2">
      <c r="A31" s="1">
        <v>42000</v>
      </c>
      <c r="B31" s="1">
        <v>39000</v>
      </c>
    </row>
    <row r="32" spans="1:2" x14ac:dyDescent="0.2">
      <c r="A32" s="1">
        <v>63000</v>
      </c>
      <c r="B32" s="1">
        <v>43000</v>
      </c>
    </row>
    <row r="33" spans="1:2" x14ac:dyDescent="0.2">
      <c r="A33" s="1">
        <v>42000</v>
      </c>
      <c r="B33" s="1">
        <v>49000</v>
      </c>
    </row>
    <row r="34" spans="1:2" x14ac:dyDescent="0.2">
      <c r="A34" s="1">
        <v>52000</v>
      </c>
      <c r="B34" s="1">
        <v>29000</v>
      </c>
    </row>
    <row r="35" spans="1:2" x14ac:dyDescent="0.2">
      <c r="A35" s="1">
        <v>52000</v>
      </c>
      <c r="B35" s="1">
        <v>48000</v>
      </c>
    </row>
    <row r="36" spans="1:2" x14ac:dyDescent="0.2">
      <c r="A36" s="1">
        <v>55000</v>
      </c>
      <c r="B36" s="1">
        <v>57000</v>
      </c>
    </row>
    <row r="37" spans="1:2" x14ac:dyDescent="0.2">
      <c r="A37" s="1">
        <v>61000</v>
      </c>
      <c r="B37" s="1">
        <v>18000</v>
      </c>
    </row>
    <row r="38" spans="1:2" x14ac:dyDescent="0.2">
      <c r="A38" s="1">
        <v>52000</v>
      </c>
      <c r="B38" s="1">
        <v>42000</v>
      </c>
    </row>
    <row r="39" spans="1:2" x14ac:dyDescent="0.2">
      <c r="A39" s="1">
        <v>64000</v>
      </c>
      <c r="B39" s="1">
        <v>37000</v>
      </c>
    </row>
    <row r="40" spans="1:2" x14ac:dyDescent="0.2">
      <c r="A40" s="1">
        <v>45000</v>
      </c>
      <c r="B40" s="1">
        <v>53000</v>
      </c>
    </row>
    <row r="41" spans="1:2" x14ac:dyDescent="0.2">
      <c r="A41" s="1">
        <v>47000</v>
      </c>
      <c r="B41" s="1">
        <v>54000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9445-2C31-4D19-AC2F-E151778A1A11}">
  <dimension ref="A1:B31"/>
  <sheetViews>
    <sheetView workbookViewId="0">
      <selection activeCell="E10" sqref="E10"/>
    </sheetView>
  </sheetViews>
  <sheetFormatPr baseColWidth="10" defaultColWidth="8.83203125" defaultRowHeight="15" x14ac:dyDescent="0.2"/>
  <cols>
    <col min="1" max="2" width="16.6640625" style="1" customWidth="1"/>
  </cols>
  <sheetData>
    <row r="1" spans="1:2" ht="16" x14ac:dyDescent="0.2">
      <c r="A1" s="12" t="s">
        <v>218</v>
      </c>
      <c r="B1" s="12" t="s">
        <v>219</v>
      </c>
    </row>
    <row r="2" spans="1:2" x14ac:dyDescent="0.2">
      <c r="A2" s="1">
        <v>96670</v>
      </c>
      <c r="B2" s="1">
        <v>118379</v>
      </c>
    </row>
    <row r="3" spans="1:2" x14ac:dyDescent="0.2">
      <c r="A3" s="1">
        <v>97855</v>
      </c>
      <c r="B3" s="1">
        <v>111005</v>
      </c>
    </row>
    <row r="4" spans="1:2" x14ac:dyDescent="0.2">
      <c r="A4" s="1">
        <v>96368</v>
      </c>
      <c r="B4" s="1">
        <v>100482</v>
      </c>
    </row>
    <row r="5" spans="1:2" x14ac:dyDescent="0.2">
      <c r="A5" s="1">
        <v>98465</v>
      </c>
      <c r="B5" s="1">
        <v>122160</v>
      </c>
    </row>
    <row r="6" spans="1:2" x14ac:dyDescent="0.2">
      <c r="A6" s="1">
        <v>98550</v>
      </c>
      <c r="B6" s="1">
        <v>117158</v>
      </c>
    </row>
    <row r="7" spans="1:2" x14ac:dyDescent="0.2">
      <c r="A7" s="1">
        <v>101623</v>
      </c>
      <c r="B7" s="1">
        <v>101556</v>
      </c>
    </row>
    <row r="8" spans="1:2" x14ac:dyDescent="0.2">
      <c r="A8" s="1">
        <v>95753</v>
      </c>
      <c r="B8" s="1">
        <v>98875</v>
      </c>
    </row>
    <row r="9" spans="1:2" x14ac:dyDescent="0.2">
      <c r="A9" s="1">
        <v>102036</v>
      </c>
      <c r="B9" s="1">
        <v>104384</v>
      </c>
    </row>
    <row r="10" spans="1:2" x14ac:dyDescent="0.2">
      <c r="A10" s="1">
        <v>99475</v>
      </c>
      <c r="B10" s="1">
        <v>110932</v>
      </c>
    </row>
    <row r="11" spans="1:2" x14ac:dyDescent="0.2">
      <c r="A11" s="1">
        <v>103780</v>
      </c>
      <c r="B11" s="1">
        <v>101963</v>
      </c>
    </row>
    <row r="12" spans="1:2" x14ac:dyDescent="0.2">
      <c r="A12" s="1">
        <v>97608</v>
      </c>
      <c r="B12" s="1">
        <v>123513</v>
      </c>
    </row>
    <row r="13" spans="1:2" x14ac:dyDescent="0.2">
      <c r="A13" s="1">
        <v>99859</v>
      </c>
      <c r="B13" s="1">
        <v>102195</v>
      </c>
    </row>
    <row r="14" spans="1:2" x14ac:dyDescent="0.2">
      <c r="A14" s="1">
        <v>101764</v>
      </c>
      <c r="B14" s="1">
        <v>111388</v>
      </c>
    </row>
    <row r="15" spans="1:2" x14ac:dyDescent="0.2">
      <c r="A15" s="1">
        <v>97287</v>
      </c>
      <c r="B15" s="1">
        <v>116287</v>
      </c>
    </row>
    <row r="16" spans="1:2" x14ac:dyDescent="0.2">
      <c r="A16" s="1">
        <v>98066</v>
      </c>
      <c r="B16" s="1">
        <v>119660</v>
      </c>
    </row>
    <row r="17" spans="1:2" x14ac:dyDescent="0.2">
      <c r="A17" s="1">
        <v>95390</v>
      </c>
      <c r="B17" s="1">
        <v>112553</v>
      </c>
    </row>
    <row r="18" spans="1:2" x14ac:dyDescent="0.2">
      <c r="A18" s="1">
        <v>96125</v>
      </c>
      <c r="B18" s="1">
        <v>98245</v>
      </c>
    </row>
    <row r="19" spans="1:2" x14ac:dyDescent="0.2">
      <c r="A19" s="1">
        <v>96767</v>
      </c>
      <c r="B19" s="1">
        <v>98062</v>
      </c>
    </row>
    <row r="20" spans="1:2" x14ac:dyDescent="0.2">
      <c r="A20" s="1">
        <v>99494</v>
      </c>
      <c r="B20" s="1">
        <v>101657</v>
      </c>
    </row>
    <row r="21" spans="1:2" x14ac:dyDescent="0.2">
      <c r="A21" s="1">
        <v>102498</v>
      </c>
      <c r="B21" s="1">
        <v>106451</v>
      </c>
    </row>
    <row r="22" spans="1:2" x14ac:dyDescent="0.2">
      <c r="A22" s="1">
        <v>99260</v>
      </c>
      <c r="B22" s="1">
        <v>104247</v>
      </c>
    </row>
    <row r="23" spans="1:2" x14ac:dyDescent="0.2">
      <c r="A23" s="1">
        <v>102020</v>
      </c>
      <c r="B23" s="1">
        <v>105507</v>
      </c>
    </row>
    <row r="24" spans="1:2" x14ac:dyDescent="0.2">
      <c r="A24" s="1">
        <v>102468</v>
      </c>
      <c r="B24" s="1">
        <v>118339</v>
      </c>
    </row>
    <row r="25" spans="1:2" x14ac:dyDescent="0.2">
      <c r="A25" s="1">
        <v>96543</v>
      </c>
      <c r="B25" s="1">
        <v>109847</v>
      </c>
    </row>
    <row r="26" spans="1:2" x14ac:dyDescent="0.2">
      <c r="A26" s="1">
        <v>102491</v>
      </c>
      <c r="B26" s="1">
        <v>123996</v>
      </c>
    </row>
    <row r="27" spans="1:2" x14ac:dyDescent="0.2">
      <c r="A27" s="1">
        <v>96557</v>
      </c>
      <c r="B27" s="1">
        <v>122545</v>
      </c>
    </row>
    <row r="28" spans="1:2" x14ac:dyDescent="0.2">
      <c r="A28" s="1">
        <v>102627</v>
      </c>
      <c r="B28" s="1">
        <v>113248</v>
      </c>
    </row>
    <row r="29" spans="1:2" x14ac:dyDescent="0.2">
      <c r="A29" s="1">
        <v>95048</v>
      </c>
      <c r="B29" s="1">
        <v>104941</v>
      </c>
    </row>
    <row r="30" spans="1:2" x14ac:dyDescent="0.2">
      <c r="A30" s="1">
        <v>96969</v>
      </c>
      <c r="B30" s="1">
        <v>111829</v>
      </c>
    </row>
    <row r="31" spans="1:2" x14ac:dyDescent="0.2">
      <c r="A31" s="1">
        <v>95103</v>
      </c>
      <c r="B31" s="1">
        <v>114721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1"/>
  <sheetViews>
    <sheetView workbookViewId="0">
      <selection activeCell="F7" sqref="F7"/>
    </sheetView>
  </sheetViews>
  <sheetFormatPr baseColWidth="10" defaultColWidth="8.83203125" defaultRowHeight="15" x14ac:dyDescent="0.2"/>
  <sheetData>
    <row r="1" spans="1:2" x14ac:dyDescent="0.2">
      <c r="A1" t="s">
        <v>211</v>
      </c>
      <c r="B1" t="s">
        <v>184</v>
      </c>
    </row>
    <row r="2" spans="1:2" x14ac:dyDescent="0.2">
      <c r="A2" t="s">
        <v>212</v>
      </c>
      <c r="B2" t="s">
        <v>186</v>
      </c>
    </row>
    <row r="3" spans="1:2" x14ac:dyDescent="0.2">
      <c r="A3" t="s">
        <v>213</v>
      </c>
      <c r="B3" t="s">
        <v>186</v>
      </c>
    </row>
    <row r="4" spans="1:2" x14ac:dyDescent="0.2">
      <c r="A4" t="s">
        <v>213</v>
      </c>
      <c r="B4" t="s">
        <v>188</v>
      </c>
    </row>
    <row r="5" spans="1:2" x14ac:dyDescent="0.2">
      <c r="A5" t="s">
        <v>213</v>
      </c>
      <c r="B5" t="s">
        <v>186</v>
      </c>
    </row>
    <row r="6" spans="1:2" x14ac:dyDescent="0.2">
      <c r="A6" t="s">
        <v>213</v>
      </c>
      <c r="B6" t="s">
        <v>188</v>
      </c>
    </row>
    <row r="7" spans="1:2" x14ac:dyDescent="0.2">
      <c r="A7" t="s">
        <v>212</v>
      </c>
      <c r="B7" t="s">
        <v>186</v>
      </c>
    </row>
    <row r="8" spans="1:2" x14ac:dyDescent="0.2">
      <c r="A8" t="s">
        <v>213</v>
      </c>
      <c r="B8" t="s">
        <v>186</v>
      </c>
    </row>
    <row r="9" spans="1:2" x14ac:dyDescent="0.2">
      <c r="A9" t="s">
        <v>213</v>
      </c>
      <c r="B9" t="s">
        <v>186</v>
      </c>
    </row>
    <row r="10" spans="1:2" x14ac:dyDescent="0.2">
      <c r="A10" t="s">
        <v>212</v>
      </c>
      <c r="B10" t="s">
        <v>186</v>
      </c>
    </row>
    <row r="11" spans="1:2" x14ac:dyDescent="0.2">
      <c r="A11" t="s">
        <v>213</v>
      </c>
      <c r="B11" t="s">
        <v>186</v>
      </c>
    </row>
    <row r="12" spans="1:2" x14ac:dyDescent="0.2">
      <c r="A12" t="s">
        <v>212</v>
      </c>
      <c r="B12" t="s">
        <v>186</v>
      </c>
    </row>
    <row r="13" spans="1:2" x14ac:dyDescent="0.2">
      <c r="A13" t="s">
        <v>213</v>
      </c>
      <c r="B13" t="s">
        <v>188</v>
      </c>
    </row>
    <row r="14" spans="1:2" x14ac:dyDescent="0.2">
      <c r="A14" t="s">
        <v>213</v>
      </c>
      <c r="B14" t="s">
        <v>188</v>
      </c>
    </row>
    <row r="15" spans="1:2" x14ac:dyDescent="0.2">
      <c r="A15" t="s">
        <v>213</v>
      </c>
      <c r="B15" t="s">
        <v>188</v>
      </c>
    </row>
    <row r="16" spans="1:2" x14ac:dyDescent="0.2">
      <c r="A16" t="s">
        <v>212</v>
      </c>
      <c r="B16" t="s">
        <v>188</v>
      </c>
    </row>
    <row r="17" spans="1:2" x14ac:dyDescent="0.2">
      <c r="A17" t="s">
        <v>213</v>
      </c>
      <c r="B17" t="s">
        <v>186</v>
      </c>
    </row>
    <row r="18" spans="1:2" x14ac:dyDescent="0.2">
      <c r="A18" t="s">
        <v>212</v>
      </c>
      <c r="B18" t="s">
        <v>186</v>
      </c>
    </row>
    <row r="19" spans="1:2" x14ac:dyDescent="0.2">
      <c r="A19" t="s">
        <v>212</v>
      </c>
      <c r="B19" t="s">
        <v>188</v>
      </c>
    </row>
    <row r="20" spans="1:2" x14ac:dyDescent="0.2">
      <c r="A20" t="s">
        <v>213</v>
      </c>
      <c r="B20" t="s">
        <v>186</v>
      </c>
    </row>
    <row r="21" spans="1:2" x14ac:dyDescent="0.2">
      <c r="A21" t="s">
        <v>212</v>
      </c>
      <c r="B21" t="s">
        <v>186</v>
      </c>
    </row>
    <row r="22" spans="1:2" x14ac:dyDescent="0.2">
      <c r="A22" t="s">
        <v>212</v>
      </c>
      <c r="B22" t="s">
        <v>186</v>
      </c>
    </row>
    <row r="23" spans="1:2" x14ac:dyDescent="0.2">
      <c r="A23" t="s">
        <v>213</v>
      </c>
      <c r="B23" t="s">
        <v>188</v>
      </c>
    </row>
    <row r="24" spans="1:2" x14ac:dyDescent="0.2">
      <c r="A24" t="s">
        <v>213</v>
      </c>
      <c r="B24" t="s">
        <v>186</v>
      </c>
    </row>
    <row r="25" spans="1:2" x14ac:dyDescent="0.2">
      <c r="A25" t="s">
        <v>213</v>
      </c>
      <c r="B25" t="s">
        <v>186</v>
      </c>
    </row>
    <row r="26" spans="1:2" x14ac:dyDescent="0.2">
      <c r="A26" t="s">
        <v>212</v>
      </c>
      <c r="B26" t="s">
        <v>186</v>
      </c>
    </row>
    <row r="27" spans="1:2" x14ac:dyDescent="0.2">
      <c r="A27" t="s">
        <v>213</v>
      </c>
      <c r="B27" t="s">
        <v>186</v>
      </c>
    </row>
    <row r="28" spans="1:2" x14ac:dyDescent="0.2">
      <c r="A28" t="s">
        <v>212</v>
      </c>
      <c r="B28" t="s">
        <v>188</v>
      </c>
    </row>
    <row r="29" spans="1:2" x14ac:dyDescent="0.2">
      <c r="A29" t="s">
        <v>213</v>
      </c>
      <c r="B29" t="s">
        <v>186</v>
      </c>
    </row>
    <row r="30" spans="1:2" x14ac:dyDescent="0.2">
      <c r="A30" t="s">
        <v>213</v>
      </c>
      <c r="B30" t="s">
        <v>186</v>
      </c>
    </row>
    <row r="31" spans="1:2" x14ac:dyDescent="0.2">
      <c r="A31" t="s">
        <v>212</v>
      </c>
      <c r="B31" t="s">
        <v>186</v>
      </c>
    </row>
    <row r="32" spans="1:2" x14ac:dyDescent="0.2">
      <c r="A32" t="s">
        <v>213</v>
      </c>
      <c r="B32" t="s">
        <v>186</v>
      </c>
    </row>
    <row r="33" spans="1:2" x14ac:dyDescent="0.2">
      <c r="A33" t="s">
        <v>212</v>
      </c>
      <c r="B33" t="s">
        <v>186</v>
      </c>
    </row>
    <row r="34" spans="1:2" x14ac:dyDescent="0.2">
      <c r="A34" t="s">
        <v>213</v>
      </c>
      <c r="B34" t="s">
        <v>186</v>
      </c>
    </row>
    <row r="35" spans="1:2" x14ac:dyDescent="0.2">
      <c r="A35" t="s">
        <v>213</v>
      </c>
      <c r="B35" t="s">
        <v>188</v>
      </c>
    </row>
    <row r="36" spans="1:2" x14ac:dyDescent="0.2">
      <c r="A36" t="s">
        <v>213</v>
      </c>
      <c r="B36" t="s">
        <v>188</v>
      </c>
    </row>
    <row r="37" spans="1:2" x14ac:dyDescent="0.2">
      <c r="A37" t="s">
        <v>212</v>
      </c>
      <c r="B37" t="s">
        <v>186</v>
      </c>
    </row>
    <row r="38" spans="1:2" x14ac:dyDescent="0.2">
      <c r="A38" t="s">
        <v>213</v>
      </c>
      <c r="B38" t="s">
        <v>188</v>
      </c>
    </row>
    <row r="39" spans="1:2" x14ac:dyDescent="0.2">
      <c r="A39" t="s">
        <v>212</v>
      </c>
      <c r="B39" t="s">
        <v>188</v>
      </c>
    </row>
    <row r="40" spans="1:2" x14ac:dyDescent="0.2">
      <c r="A40" t="s">
        <v>212</v>
      </c>
      <c r="B40" t="s">
        <v>188</v>
      </c>
    </row>
    <row r="41" spans="1:2" x14ac:dyDescent="0.2">
      <c r="A41" t="s">
        <v>213</v>
      </c>
      <c r="B41" t="s">
        <v>186</v>
      </c>
    </row>
    <row r="42" spans="1:2" x14ac:dyDescent="0.2">
      <c r="A42" t="s">
        <v>213</v>
      </c>
      <c r="B42" t="s">
        <v>188</v>
      </c>
    </row>
    <row r="43" spans="1:2" x14ac:dyDescent="0.2">
      <c r="A43" t="s">
        <v>213</v>
      </c>
      <c r="B43" t="s">
        <v>186</v>
      </c>
    </row>
    <row r="44" spans="1:2" x14ac:dyDescent="0.2">
      <c r="A44" t="s">
        <v>212</v>
      </c>
      <c r="B44" t="s">
        <v>186</v>
      </c>
    </row>
    <row r="45" spans="1:2" x14ac:dyDescent="0.2">
      <c r="A45" t="s">
        <v>213</v>
      </c>
      <c r="B45" t="s">
        <v>186</v>
      </c>
    </row>
    <row r="46" spans="1:2" x14ac:dyDescent="0.2">
      <c r="A46" t="s">
        <v>212</v>
      </c>
      <c r="B46" t="s">
        <v>188</v>
      </c>
    </row>
    <row r="47" spans="1:2" x14ac:dyDescent="0.2">
      <c r="A47" t="s">
        <v>213</v>
      </c>
      <c r="B47" t="s">
        <v>186</v>
      </c>
    </row>
    <row r="48" spans="1:2" x14ac:dyDescent="0.2">
      <c r="A48" t="s">
        <v>212</v>
      </c>
      <c r="B48" t="s">
        <v>188</v>
      </c>
    </row>
    <row r="49" spans="1:2" x14ac:dyDescent="0.2">
      <c r="A49" t="s">
        <v>213</v>
      </c>
      <c r="B49" t="s">
        <v>186</v>
      </c>
    </row>
    <row r="50" spans="1:2" x14ac:dyDescent="0.2">
      <c r="A50" t="s">
        <v>213</v>
      </c>
      <c r="B50" t="s">
        <v>186</v>
      </c>
    </row>
    <row r="51" spans="1:2" x14ac:dyDescent="0.2">
      <c r="A51" t="s">
        <v>213</v>
      </c>
      <c r="B51" t="s">
        <v>188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6230-F3D2-46EB-986B-716EC1648F50}">
  <dimension ref="A1:C51"/>
  <sheetViews>
    <sheetView workbookViewId="0">
      <selection activeCell="K8" sqref="K8"/>
    </sheetView>
  </sheetViews>
  <sheetFormatPr baseColWidth="10" defaultColWidth="8.83203125" defaultRowHeight="15" x14ac:dyDescent="0.2"/>
  <cols>
    <col min="1" max="1" width="8.83203125" style="1"/>
    <col min="2" max="3" width="11.5" style="1" customWidth="1"/>
  </cols>
  <sheetData>
    <row r="1" spans="1:3" x14ac:dyDescent="0.2">
      <c r="A1" s="1" t="s">
        <v>212</v>
      </c>
      <c r="B1" s="1" t="s">
        <v>231</v>
      </c>
      <c r="C1" s="1" t="s">
        <v>232</v>
      </c>
    </row>
    <row r="2" spans="1:3" x14ac:dyDescent="0.2">
      <c r="A2" s="1">
        <v>1</v>
      </c>
      <c r="B2" s="1">
        <v>140</v>
      </c>
      <c r="C2" s="1">
        <v>155</v>
      </c>
    </row>
    <row r="3" spans="1:3" x14ac:dyDescent="0.2">
      <c r="A3" s="1">
        <v>2</v>
      </c>
      <c r="B3" s="1">
        <v>144</v>
      </c>
      <c r="C3" s="1">
        <v>142</v>
      </c>
    </row>
    <row r="4" spans="1:3" x14ac:dyDescent="0.2">
      <c r="A4" s="1">
        <v>3</v>
      </c>
      <c r="B4" s="1">
        <v>138</v>
      </c>
      <c r="C4" s="1">
        <v>153</v>
      </c>
    </row>
    <row r="5" spans="1:3" x14ac:dyDescent="0.2">
      <c r="A5" s="1">
        <v>4</v>
      </c>
      <c r="B5" s="1">
        <v>145</v>
      </c>
      <c r="C5" s="1">
        <v>146</v>
      </c>
    </row>
    <row r="6" spans="1:3" x14ac:dyDescent="0.2">
      <c r="A6" s="1">
        <v>5</v>
      </c>
      <c r="B6" s="1">
        <v>118</v>
      </c>
      <c r="C6" s="1">
        <v>129</v>
      </c>
    </row>
    <row r="7" spans="1:3" x14ac:dyDescent="0.2">
      <c r="A7" s="1">
        <v>6</v>
      </c>
      <c r="B7" s="1">
        <v>150</v>
      </c>
      <c r="C7" s="1">
        <v>149</v>
      </c>
    </row>
    <row r="8" spans="1:3" x14ac:dyDescent="0.2">
      <c r="A8" s="1">
        <v>7</v>
      </c>
      <c r="B8" s="1">
        <v>119</v>
      </c>
      <c r="C8" s="1">
        <v>136</v>
      </c>
    </row>
    <row r="9" spans="1:3" x14ac:dyDescent="0.2">
      <c r="A9" s="1">
        <v>8</v>
      </c>
      <c r="B9" s="1">
        <v>125</v>
      </c>
      <c r="C9" s="1">
        <v>127</v>
      </c>
    </row>
    <row r="10" spans="1:3" x14ac:dyDescent="0.2">
      <c r="A10" s="1">
        <v>9</v>
      </c>
      <c r="B10" s="1">
        <v>131</v>
      </c>
      <c r="C10" s="1">
        <v>158</v>
      </c>
    </row>
    <row r="11" spans="1:3" x14ac:dyDescent="0.2">
      <c r="A11" s="1">
        <v>10</v>
      </c>
      <c r="B11" s="1">
        <v>126</v>
      </c>
      <c r="C11" s="1">
        <v>139</v>
      </c>
    </row>
    <row r="12" spans="1:3" x14ac:dyDescent="0.2">
      <c r="A12" s="1">
        <v>11</v>
      </c>
      <c r="B12" s="1">
        <v>124</v>
      </c>
      <c r="C12" s="1">
        <v>127</v>
      </c>
    </row>
    <row r="13" spans="1:3" x14ac:dyDescent="0.2">
      <c r="A13" s="1">
        <v>12</v>
      </c>
      <c r="B13" s="1">
        <v>131</v>
      </c>
      <c r="C13" s="1">
        <v>141</v>
      </c>
    </row>
    <row r="14" spans="1:3" x14ac:dyDescent="0.2">
      <c r="A14" s="1">
        <v>13</v>
      </c>
      <c r="B14" s="1">
        <v>140</v>
      </c>
      <c r="C14" s="1">
        <v>139</v>
      </c>
    </row>
    <row r="15" spans="1:3" x14ac:dyDescent="0.2">
      <c r="A15" s="1">
        <v>14</v>
      </c>
      <c r="B15" s="1">
        <v>140</v>
      </c>
      <c r="C15" s="1">
        <v>140</v>
      </c>
    </row>
    <row r="16" spans="1:3" x14ac:dyDescent="0.2">
      <c r="A16" s="1">
        <v>15</v>
      </c>
      <c r="B16" s="1">
        <v>130</v>
      </c>
      <c r="C16" s="1">
        <v>136</v>
      </c>
    </row>
    <row r="17" spans="1:3" x14ac:dyDescent="0.2">
      <c r="A17" s="1">
        <v>16</v>
      </c>
      <c r="B17" s="1">
        <v>123</v>
      </c>
      <c r="C17" s="1">
        <v>143</v>
      </c>
    </row>
    <row r="18" spans="1:3" x14ac:dyDescent="0.2">
      <c r="A18" s="1">
        <v>17</v>
      </c>
      <c r="B18" s="1">
        <v>132</v>
      </c>
      <c r="C18" s="1">
        <v>145</v>
      </c>
    </row>
    <row r="19" spans="1:3" x14ac:dyDescent="0.2">
      <c r="A19" s="1">
        <v>18</v>
      </c>
      <c r="B19" s="1">
        <v>124</v>
      </c>
      <c r="C19" s="1">
        <v>126</v>
      </c>
    </row>
    <row r="20" spans="1:3" x14ac:dyDescent="0.2">
      <c r="A20" s="1">
        <v>19</v>
      </c>
      <c r="B20" s="1">
        <v>144</v>
      </c>
      <c r="C20" s="1">
        <v>165</v>
      </c>
    </row>
    <row r="21" spans="1:3" x14ac:dyDescent="0.2">
      <c r="A21" s="1">
        <v>20</v>
      </c>
      <c r="B21" s="1">
        <v>117</v>
      </c>
      <c r="C21" s="1">
        <v>136</v>
      </c>
    </row>
    <row r="22" spans="1:3" x14ac:dyDescent="0.2">
      <c r="A22" s="1">
        <v>21</v>
      </c>
      <c r="B22" s="1">
        <v>148</v>
      </c>
      <c r="C22" s="1">
        <v>163</v>
      </c>
    </row>
    <row r="23" spans="1:3" x14ac:dyDescent="0.2">
      <c r="A23" s="1">
        <v>22</v>
      </c>
      <c r="B23" s="1">
        <v>137</v>
      </c>
      <c r="C23" s="1">
        <v>140</v>
      </c>
    </row>
    <row r="24" spans="1:3" x14ac:dyDescent="0.2">
      <c r="A24" s="1">
        <v>23</v>
      </c>
      <c r="B24" s="1">
        <v>133</v>
      </c>
      <c r="C24" s="1">
        <v>147</v>
      </c>
    </row>
    <row r="25" spans="1:3" x14ac:dyDescent="0.2">
      <c r="A25" s="1">
        <v>24</v>
      </c>
      <c r="B25" s="1">
        <v>133</v>
      </c>
      <c r="C25" s="1">
        <v>142</v>
      </c>
    </row>
    <row r="26" spans="1:3" x14ac:dyDescent="0.2">
      <c r="A26" s="1">
        <v>25</v>
      </c>
      <c r="B26" s="1">
        <v>123</v>
      </c>
      <c r="C26" s="1">
        <v>123</v>
      </c>
    </row>
    <row r="27" spans="1:3" x14ac:dyDescent="0.2">
      <c r="A27" s="1">
        <v>26</v>
      </c>
      <c r="B27" s="1">
        <v>134</v>
      </c>
      <c r="C27" s="1">
        <v>137</v>
      </c>
    </row>
    <row r="28" spans="1:3" x14ac:dyDescent="0.2">
      <c r="A28" s="1">
        <v>27</v>
      </c>
      <c r="B28" s="1">
        <v>130</v>
      </c>
      <c r="C28" s="1">
        <v>140</v>
      </c>
    </row>
    <row r="29" spans="1:3" x14ac:dyDescent="0.2">
      <c r="A29" s="1">
        <v>28</v>
      </c>
      <c r="B29" s="1">
        <v>123</v>
      </c>
      <c r="C29" s="1">
        <v>124</v>
      </c>
    </row>
    <row r="30" spans="1:3" x14ac:dyDescent="0.2">
      <c r="A30" s="1">
        <v>29</v>
      </c>
      <c r="B30" s="1">
        <v>125</v>
      </c>
      <c r="C30" s="1">
        <v>129</v>
      </c>
    </row>
    <row r="31" spans="1:3" x14ac:dyDescent="0.2">
      <c r="A31" s="1">
        <v>30</v>
      </c>
      <c r="B31" s="1">
        <v>133</v>
      </c>
      <c r="C31" s="1">
        <v>136</v>
      </c>
    </row>
    <row r="32" spans="1:3" x14ac:dyDescent="0.2">
      <c r="A32" s="1">
        <v>31</v>
      </c>
      <c r="B32" s="1">
        <v>136</v>
      </c>
      <c r="C32" s="1">
        <v>147</v>
      </c>
    </row>
    <row r="33" spans="1:3" x14ac:dyDescent="0.2">
      <c r="A33" s="1">
        <v>32</v>
      </c>
      <c r="B33" s="1">
        <v>127</v>
      </c>
      <c r="C33" s="1">
        <v>131</v>
      </c>
    </row>
    <row r="34" spans="1:3" x14ac:dyDescent="0.2">
      <c r="A34" s="1">
        <v>33</v>
      </c>
      <c r="B34" s="1">
        <v>122</v>
      </c>
      <c r="C34" s="1">
        <v>134</v>
      </c>
    </row>
    <row r="35" spans="1:3" x14ac:dyDescent="0.2">
      <c r="A35" s="1">
        <v>34</v>
      </c>
      <c r="B35" s="1">
        <v>128</v>
      </c>
      <c r="C35" s="1">
        <v>129</v>
      </c>
    </row>
    <row r="36" spans="1:3" x14ac:dyDescent="0.2">
      <c r="A36" s="1">
        <v>35</v>
      </c>
      <c r="B36" s="1">
        <v>133</v>
      </c>
      <c r="C36" s="1">
        <v>143</v>
      </c>
    </row>
    <row r="37" spans="1:3" x14ac:dyDescent="0.2">
      <c r="A37" s="1">
        <v>36</v>
      </c>
      <c r="B37" s="1">
        <v>138</v>
      </c>
      <c r="C37" s="1">
        <v>150</v>
      </c>
    </row>
    <row r="38" spans="1:3" x14ac:dyDescent="0.2">
      <c r="A38" s="1">
        <v>37</v>
      </c>
      <c r="B38" s="1">
        <v>127</v>
      </c>
      <c r="C38" s="1">
        <v>136</v>
      </c>
    </row>
    <row r="39" spans="1:3" x14ac:dyDescent="0.2">
      <c r="A39" s="1">
        <v>38</v>
      </c>
      <c r="B39" s="1">
        <v>126</v>
      </c>
      <c r="C39" s="1">
        <v>134</v>
      </c>
    </row>
    <row r="40" spans="1:3" x14ac:dyDescent="0.2">
      <c r="A40" s="1">
        <v>39</v>
      </c>
      <c r="B40" s="1">
        <v>131</v>
      </c>
      <c r="C40" s="1">
        <v>140</v>
      </c>
    </row>
    <row r="41" spans="1:3" x14ac:dyDescent="0.2">
      <c r="A41" s="1">
        <v>40</v>
      </c>
      <c r="B41" s="1">
        <v>126</v>
      </c>
      <c r="C41" s="1">
        <v>118</v>
      </c>
    </row>
    <row r="42" spans="1:3" x14ac:dyDescent="0.2">
      <c r="A42" s="1">
        <v>41</v>
      </c>
      <c r="B42" s="1">
        <v>130</v>
      </c>
      <c r="C42" s="1">
        <v>132</v>
      </c>
    </row>
    <row r="43" spans="1:3" x14ac:dyDescent="0.2">
      <c r="A43" s="1">
        <v>42</v>
      </c>
      <c r="B43" s="1">
        <v>146</v>
      </c>
      <c r="C43" s="1">
        <v>146</v>
      </c>
    </row>
    <row r="44" spans="1:3" x14ac:dyDescent="0.2">
      <c r="A44" s="1">
        <v>43</v>
      </c>
      <c r="B44" s="1">
        <v>141</v>
      </c>
      <c r="C44" s="1">
        <v>135</v>
      </c>
    </row>
    <row r="45" spans="1:3" x14ac:dyDescent="0.2">
      <c r="A45" s="1">
        <v>44</v>
      </c>
      <c r="B45" s="1">
        <v>125</v>
      </c>
      <c r="C45" s="1">
        <v>126</v>
      </c>
    </row>
    <row r="46" spans="1:3" x14ac:dyDescent="0.2">
      <c r="A46" s="1">
        <v>45</v>
      </c>
      <c r="B46" s="1">
        <v>160</v>
      </c>
      <c r="C46" s="1">
        <v>163</v>
      </c>
    </row>
    <row r="47" spans="1:3" x14ac:dyDescent="0.2">
      <c r="A47" s="1">
        <v>46</v>
      </c>
      <c r="B47" s="1">
        <v>151</v>
      </c>
      <c r="C47" s="1">
        <v>154</v>
      </c>
    </row>
    <row r="48" spans="1:3" x14ac:dyDescent="0.2">
      <c r="A48" s="1">
        <v>47</v>
      </c>
      <c r="B48" s="1">
        <v>135</v>
      </c>
      <c r="C48" s="1">
        <v>149</v>
      </c>
    </row>
    <row r="49" spans="1:3" x14ac:dyDescent="0.2">
      <c r="A49" s="1">
        <v>48</v>
      </c>
      <c r="B49" s="1">
        <v>110</v>
      </c>
      <c r="C49" s="1">
        <v>105</v>
      </c>
    </row>
    <row r="50" spans="1:3" x14ac:dyDescent="0.2">
      <c r="A50" s="1">
        <v>49</v>
      </c>
      <c r="B50" s="1">
        <v>123</v>
      </c>
      <c r="C50" s="1">
        <v>128</v>
      </c>
    </row>
    <row r="51" spans="1:3" x14ac:dyDescent="0.2">
      <c r="A51" s="1">
        <v>50</v>
      </c>
      <c r="B51" s="1">
        <v>135</v>
      </c>
      <c r="C51" s="1">
        <v>147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82BE-2652-4D14-A3BE-448ED0D2055C}">
  <dimension ref="A1:B101"/>
  <sheetViews>
    <sheetView workbookViewId="0">
      <selection activeCell="H13" sqref="H13"/>
    </sheetView>
  </sheetViews>
  <sheetFormatPr baseColWidth="10" defaultColWidth="8.83203125" defaultRowHeight="15" x14ac:dyDescent="0.2"/>
  <cols>
    <col min="2" max="2" width="10.1640625" customWidth="1"/>
  </cols>
  <sheetData>
    <row r="1" spans="1:2" x14ac:dyDescent="0.2">
      <c r="A1" s="1" t="s">
        <v>241</v>
      </c>
      <c r="B1" s="1" t="s">
        <v>242</v>
      </c>
    </row>
    <row r="2" spans="1:2" x14ac:dyDescent="0.2">
      <c r="A2" s="1">
        <v>0</v>
      </c>
      <c r="B2" s="1">
        <v>1</v>
      </c>
    </row>
    <row r="3" spans="1:2" x14ac:dyDescent="0.2">
      <c r="A3" s="1">
        <v>0</v>
      </c>
      <c r="B3" s="1">
        <v>1</v>
      </c>
    </row>
    <row r="4" spans="1:2" x14ac:dyDescent="0.2">
      <c r="A4" s="1">
        <v>1</v>
      </c>
      <c r="B4" s="1">
        <v>11</v>
      </c>
    </row>
    <row r="5" spans="1:2" x14ac:dyDescent="0.2">
      <c r="A5" s="1">
        <v>1</v>
      </c>
      <c r="B5" s="1">
        <v>11</v>
      </c>
    </row>
    <row r="6" spans="1:2" x14ac:dyDescent="0.2">
      <c r="A6" s="1">
        <v>0</v>
      </c>
      <c r="B6" s="1">
        <v>1</v>
      </c>
    </row>
    <row r="7" spans="1:2" x14ac:dyDescent="0.2">
      <c r="A7" s="1">
        <v>0</v>
      </c>
      <c r="B7" s="1">
        <v>2</v>
      </c>
    </row>
    <row r="8" spans="1:2" x14ac:dyDescent="0.2">
      <c r="A8" s="1">
        <v>1</v>
      </c>
      <c r="B8" s="1">
        <v>10</v>
      </c>
    </row>
    <row r="9" spans="1:2" x14ac:dyDescent="0.2">
      <c r="A9" s="1">
        <v>0</v>
      </c>
      <c r="B9" s="1">
        <v>3</v>
      </c>
    </row>
    <row r="10" spans="1:2" x14ac:dyDescent="0.2">
      <c r="A10" s="1">
        <v>0</v>
      </c>
      <c r="B10" s="1">
        <v>5</v>
      </c>
    </row>
    <row r="11" spans="1:2" x14ac:dyDescent="0.2">
      <c r="A11" s="1">
        <v>1</v>
      </c>
      <c r="B11" s="1">
        <v>9</v>
      </c>
    </row>
    <row r="12" spans="1:2" x14ac:dyDescent="0.2">
      <c r="A12" s="1">
        <v>1</v>
      </c>
      <c r="B12" s="1">
        <v>10</v>
      </c>
    </row>
    <row r="13" spans="1:2" x14ac:dyDescent="0.2">
      <c r="A13" s="1">
        <v>1</v>
      </c>
      <c r="B13" s="1">
        <v>11</v>
      </c>
    </row>
    <row r="14" spans="1:2" x14ac:dyDescent="0.2">
      <c r="A14" s="1">
        <v>1</v>
      </c>
      <c r="B14" s="1">
        <v>11</v>
      </c>
    </row>
    <row r="15" spans="1:2" x14ac:dyDescent="0.2">
      <c r="A15" s="1">
        <v>1</v>
      </c>
      <c r="B15" s="1">
        <v>9</v>
      </c>
    </row>
    <row r="16" spans="1:2" x14ac:dyDescent="0.2">
      <c r="A16" s="1">
        <v>0</v>
      </c>
      <c r="B16" s="1">
        <v>4</v>
      </c>
    </row>
    <row r="17" spans="1:2" x14ac:dyDescent="0.2">
      <c r="A17" s="1">
        <v>1</v>
      </c>
      <c r="B17" s="1">
        <v>12</v>
      </c>
    </row>
    <row r="18" spans="1:2" x14ac:dyDescent="0.2">
      <c r="A18" s="1">
        <v>1</v>
      </c>
      <c r="B18" s="1">
        <v>11</v>
      </c>
    </row>
    <row r="19" spans="1:2" x14ac:dyDescent="0.2">
      <c r="A19" s="1">
        <v>1</v>
      </c>
      <c r="B19" s="1">
        <v>11</v>
      </c>
    </row>
    <row r="20" spans="1:2" x14ac:dyDescent="0.2">
      <c r="A20" s="1">
        <v>1</v>
      </c>
      <c r="B20" s="1">
        <v>11</v>
      </c>
    </row>
    <row r="21" spans="1:2" x14ac:dyDescent="0.2">
      <c r="A21" s="1">
        <v>1</v>
      </c>
      <c r="B21" s="1">
        <v>3</v>
      </c>
    </row>
    <row r="22" spans="1:2" x14ac:dyDescent="0.2">
      <c r="A22" s="1">
        <v>0</v>
      </c>
      <c r="B22" s="1">
        <v>6</v>
      </c>
    </row>
    <row r="23" spans="1:2" x14ac:dyDescent="0.2">
      <c r="A23" s="1">
        <v>0</v>
      </c>
      <c r="B23" s="1">
        <v>2</v>
      </c>
    </row>
    <row r="24" spans="1:2" x14ac:dyDescent="0.2">
      <c r="A24" s="1">
        <v>1</v>
      </c>
      <c r="B24" s="1">
        <v>7</v>
      </c>
    </row>
    <row r="25" spans="1:2" x14ac:dyDescent="0.2">
      <c r="A25" s="1">
        <v>1</v>
      </c>
      <c r="B25" s="1">
        <v>5</v>
      </c>
    </row>
    <row r="26" spans="1:2" x14ac:dyDescent="0.2">
      <c r="A26" s="1">
        <v>0</v>
      </c>
      <c r="B26" s="1">
        <v>0</v>
      </c>
    </row>
    <row r="27" spans="1:2" x14ac:dyDescent="0.2">
      <c r="A27" s="1">
        <v>1</v>
      </c>
      <c r="B27" s="1">
        <v>11</v>
      </c>
    </row>
    <row r="28" spans="1:2" x14ac:dyDescent="0.2">
      <c r="A28" s="1">
        <v>0</v>
      </c>
      <c r="B28" s="1">
        <v>3</v>
      </c>
    </row>
    <row r="29" spans="1:2" x14ac:dyDescent="0.2">
      <c r="A29" s="1">
        <v>1</v>
      </c>
      <c r="B29" s="1">
        <v>11</v>
      </c>
    </row>
    <row r="30" spans="1:2" x14ac:dyDescent="0.2">
      <c r="A30" s="1">
        <v>1</v>
      </c>
      <c r="B30" s="1">
        <v>7</v>
      </c>
    </row>
    <row r="31" spans="1:2" x14ac:dyDescent="0.2">
      <c r="A31" s="1">
        <v>1</v>
      </c>
      <c r="B31" s="1">
        <v>5</v>
      </c>
    </row>
    <row r="32" spans="1:2" x14ac:dyDescent="0.2">
      <c r="A32" s="1">
        <v>1</v>
      </c>
      <c r="B32" s="1">
        <v>11</v>
      </c>
    </row>
    <row r="33" spans="1:2" x14ac:dyDescent="0.2">
      <c r="A33" s="1">
        <v>1</v>
      </c>
      <c r="B33" s="1">
        <v>9</v>
      </c>
    </row>
    <row r="34" spans="1:2" x14ac:dyDescent="0.2">
      <c r="A34" s="1">
        <v>1</v>
      </c>
      <c r="B34" s="1">
        <v>9</v>
      </c>
    </row>
    <row r="35" spans="1:2" x14ac:dyDescent="0.2">
      <c r="A35" s="1">
        <v>0</v>
      </c>
      <c r="B35" s="1">
        <v>3</v>
      </c>
    </row>
    <row r="36" spans="1:2" x14ac:dyDescent="0.2">
      <c r="A36" s="1">
        <v>1</v>
      </c>
      <c r="B36" s="1">
        <v>10</v>
      </c>
    </row>
    <row r="37" spans="1:2" x14ac:dyDescent="0.2">
      <c r="A37" s="1">
        <v>0</v>
      </c>
      <c r="B37" s="1">
        <v>0</v>
      </c>
    </row>
    <row r="38" spans="1:2" x14ac:dyDescent="0.2">
      <c r="A38" s="1">
        <v>1</v>
      </c>
      <c r="B38" s="1">
        <v>11</v>
      </c>
    </row>
    <row r="39" spans="1:2" x14ac:dyDescent="0.2">
      <c r="A39" s="1">
        <v>1</v>
      </c>
      <c r="B39" s="1">
        <v>12</v>
      </c>
    </row>
    <row r="40" spans="1:2" x14ac:dyDescent="0.2">
      <c r="A40" s="1">
        <v>0</v>
      </c>
      <c r="B40" s="1">
        <v>3</v>
      </c>
    </row>
    <row r="41" spans="1:2" x14ac:dyDescent="0.2">
      <c r="A41" s="1">
        <v>1</v>
      </c>
      <c r="B41" s="1">
        <v>8</v>
      </c>
    </row>
    <row r="42" spans="1:2" x14ac:dyDescent="0.2">
      <c r="A42" s="1">
        <v>0</v>
      </c>
      <c r="B42" s="1">
        <v>0</v>
      </c>
    </row>
    <row r="43" spans="1:2" x14ac:dyDescent="0.2">
      <c r="A43" s="1">
        <v>1</v>
      </c>
      <c r="B43" s="1">
        <v>8</v>
      </c>
    </row>
    <row r="44" spans="1:2" x14ac:dyDescent="0.2">
      <c r="A44" s="1">
        <v>1</v>
      </c>
      <c r="B44" s="1">
        <v>10</v>
      </c>
    </row>
    <row r="45" spans="1:2" x14ac:dyDescent="0.2">
      <c r="A45" s="1">
        <v>0</v>
      </c>
      <c r="B45" s="1">
        <v>5</v>
      </c>
    </row>
    <row r="46" spans="1:2" x14ac:dyDescent="0.2">
      <c r="A46" s="1">
        <v>1</v>
      </c>
      <c r="B46" s="1">
        <v>11</v>
      </c>
    </row>
    <row r="47" spans="1:2" x14ac:dyDescent="0.2">
      <c r="A47" s="1">
        <v>1</v>
      </c>
      <c r="B47" s="1">
        <v>9</v>
      </c>
    </row>
    <row r="48" spans="1:2" x14ac:dyDescent="0.2">
      <c r="A48" s="1">
        <v>0</v>
      </c>
      <c r="B48" s="1">
        <v>5</v>
      </c>
    </row>
    <row r="49" spans="1:2" x14ac:dyDescent="0.2">
      <c r="A49" s="1">
        <v>1</v>
      </c>
      <c r="B49" s="1">
        <v>12</v>
      </c>
    </row>
    <row r="50" spans="1:2" x14ac:dyDescent="0.2">
      <c r="A50" s="1">
        <v>1</v>
      </c>
      <c r="B50" s="1">
        <v>9</v>
      </c>
    </row>
    <row r="51" spans="1:2" x14ac:dyDescent="0.2">
      <c r="A51" s="1">
        <v>0</v>
      </c>
      <c r="B51" s="1">
        <v>1</v>
      </c>
    </row>
    <row r="52" spans="1:2" x14ac:dyDescent="0.2">
      <c r="A52" s="1">
        <v>0</v>
      </c>
      <c r="B52" s="1">
        <v>4</v>
      </c>
    </row>
    <row r="53" spans="1:2" x14ac:dyDescent="0.2">
      <c r="A53" s="1">
        <v>0</v>
      </c>
      <c r="B53" s="1">
        <v>7</v>
      </c>
    </row>
    <row r="54" spans="1:2" x14ac:dyDescent="0.2">
      <c r="A54" s="1">
        <v>1</v>
      </c>
      <c r="B54" s="1">
        <v>3</v>
      </c>
    </row>
    <row r="55" spans="1:2" x14ac:dyDescent="0.2">
      <c r="A55" s="1">
        <v>1</v>
      </c>
      <c r="B55" s="1">
        <v>6</v>
      </c>
    </row>
    <row r="56" spans="1:2" x14ac:dyDescent="0.2">
      <c r="A56" s="1">
        <v>0</v>
      </c>
      <c r="B56" s="1">
        <v>4</v>
      </c>
    </row>
    <row r="57" spans="1:2" x14ac:dyDescent="0.2">
      <c r="A57" s="1">
        <v>1</v>
      </c>
      <c r="B57" s="1">
        <v>3</v>
      </c>
    </row>
    <row r="58" spans="1:2" x14ac:dyDescent="0.2">
      <c r="A58" s="1">
        <v>0</v>
      </c>
      <c r="B58" s="1">
        <v>5</v>
      </c>
    </row>
    <row r="59" spans="1:2" x14ac:dyDescent="0.2">
      <c r="A59" s="1">
        <v>1</v>
      </c>
      <c r="B59" s="1">
        <v>1</v>
      </c>
    </row>
    <row r="60" spans="1:2" x14ac:dyDescent="0.2">
      <c r="A60" s="1">
        <v>1</v>
      </c>
      <c r="B60" s="1">
        <v>4</v>
      </c>
    </row>
    <row r="61" spans="1:2" x14ac:dyDescent="0.2">
      <c r="A61" s="1">
        <v>1</v>
      </c>
      <c r="B61" s="1">
        <v>6</v>
      </c>
    </row>
    <row r="62" spans="1:2" x14ac:dyDescent="0.2">
      <c r="A62" s="1">
        <v>0</v>
      </c>
      <c r="B62" s="1">
        <v>4</v>
      </c>
    </row>
    <row r="63" spans="1:2" x14ac:dyDescent="0.2">
      <c r="A63" s="1">
        <v>1</v>
      </c>
      <c r="B63" s="1">
        <v>11</v>
      </c>
    </row>
    <row r="64" spans="1:2" x14ac:dyDescent="0.2">
      <c r="A64" s="1">
        <v>0</v>
      </c>
      <c r="B64" s="1">
        <v>2</v>
      </c>
    </row>
    <row r="65" spans="1:2" x14ac:dyDescent="0.2">
      <c r="A65" s="1">
        <v>1</v>
      </c>
      <c r="B65" s="1">
        <v>1</v>
      </c>
    </row>
    <row r="66" spans="1:2" x14ac:dyDescent="0.2">
      <c r="A66" s="1">
        <v>1</v>
      </c>
      <c r="B66" s="1">
        <v>6</v>
      </c>
    </row>
    <row r="67" spans="1:2" x14ac:dyDescent="0.2">
      <c r="A67" s="1">
        <v>0</v>
      </c>
      <c r="B67" s="1">
        <v>10</v>
      </c>
    </row>
    <row r="68" spans="1:2" x14ac:dyDescent="0.2">
      <c r="A68" s="1">
        <v>1</v>
      </c>
      <c r="B68" s="1">
        <v>6</v>
      </c>
    </row>
    <row r="69" spans="1:2" x14ac:dyDescent="0.2">
      <c r="A69" s="1">
        <v>1</v>
      </c>
      <c r="B69" s="1">
        <v>6</v>
      </c>
    </row>
    <row r="70" spans="1:2" x14ac:dyDescent="0.2">
      <c r="A70" s="1">
        <v>0</v>
      </c>
      <c r="B70" s="1">
        <v>3</v>
      </c>
    </row>
    <row r="71" spans="1:2" x14ac:dyDescent="0.2">
      <c r="A71" s="1">
        <v>1</v>
      </c>
      <c r="B71" s="1">
        <v>7</v>
      </c>
    </row>
    <row r="72" spans="1:2" x14ac:dyDescent="0.2">
      <c r="A72" s="1">
        <v>0</v>
      </c>
      <c r="B72" s="1">
        <v>0</v>
      </c>
    </row>
    <row r="73" spans="1:2" x14ac:dyDescent="0.2">
      <c r="A73" s="1">
        <v>1</v>
      </c>
      <c r="B73" s="1">
        <v>2</v>
      </c>
    </row>
    <row r="74" spans="1:2" x14ac:dyDescent="0.2">
      <c r="A74" s="1">
        <v>1</v>
      </c>
      <c r="B74" s="1">
        <v>10</v>
      </c>
    </row>
    <row r="75" spans="1:2" x14ac:dyDescent="0.2">
      <c r="A75" s="1">
        <v>0</v>
      </c>
      <c r="B75" s="1">
        <v>2</v>
      </c>
    </row>
    <row r="76" spans="1:2" x14ac:dyDescent="0.2">
      <c r="A76" s="1">
        <v>1</v>
      </c>
      <c r="B76" s="1">
        <v>11</v>
      </c>
    </row>
    <row r="77" spans="1:2" x14ac:dyDescent="0.2">
      <c r="A77" s="1">
        <v>1</v>
      </c>
      <c r="B77" s="1">
        <v>9</v>
      </c>
    </row>
    <row r="78" spans="1:2" x14ac:dyDescent="0.2">
      <c r="A78" s="1">
        <v>0</v>
      </c>
      <c r="B78" s="1">
        <v>3</v>
      </c>
    </row>
    <row r="79" spans="1:2" x14ac:dyDescent="0.2">
      <c r="A79" s="1">
        <v>0</v>
      </c>
      <c r="B79" s="1">
        <v>3</v>
      </c>
    </row>
    <row r="80" spans="1:2" x14ac:dyDescent="0.2">
      <c r="A80" s="1">
        <v>1</v>
      </c>
      <c r="B80" s="1">
        <v>5</v>
      </c>
    </row>
    <row r="81" spans="1:2" x14ac:dyDescent="0.2">
      <c r="A81" s="1">
        <v>1</v>
      </c>
      <c r="B81" s="1">
        <v>4</v>
      </c>
    </row>
    <row r="82" spans="1:2" x14ac:dyDescent="0.2">
      <c r="A82" s="1">
        <v>0</v>
      </c>
      <c r="B82" s="1">
        <v>6</v>
      </c>
    </row>
    <row r="83" spans="1:2" x14ac:dyDescent="0.2">
      <c r="A83" s="1">
        <v>1</v>
      </c>
      <c r="B83" s="1">
        <v>11</v>
      </c>
    </row>
    <row r="84" spans="1:2" x14ac:dyDescent="0.2">
      <c r="A84" s="1">
        <v>0</v>
      </c>
      <c r="B84" s="1">
        <v>4</v>
      </c>
    </row>
    <row r="85" spans="1:2" x14ac:dyDescent="0.2">
      <c r="A85" s="1">
        <v>1</v>
      </c>
      <c r="B85" s="1">
        <v>6</v>
      </c>
    </row>
    <row r="86" spans="1:2" x14ac:dyDescent="0.2">
      <c r="A86" s="1">
        <v>0</v>
      </c>
      <c r="B86" s="1">
        <v>2</v>
      </c>
    </row>
    <row r="87" spans="1:2" x14ac:dyDescent="0.2">
      <c r="A87" s="1">
        <v>1</v>
      </c>
      <c r="B87" s="1">
        <v>10</v>
      </c>
    </row>
    <row r="88" spans="1:2" x14ac:dyDescent="0.2">
      <c r="A88" s="1">
        <v>0</v>
      </c>
      <c r="B88" s="1">
        <v>1</v>
      </c>
    </row>
    <row r="89" spans="1:2" x14ac:dyDescent="0.2">
      <c r="A89" s="1">
        <v>1</v>
      </c>
      <c r="B89" s="1">
        <v>4</v>
      </c>
    </row>
    <row r="90" spans="1:2" x14ac:dyDescent="0.2">
      <c r="A90" s="1">
        <v>1</v>
      </c>
      <c r="B90" s="1">
        <v>11</v>
      </c>
    </row>
    <row r="91" spans="1:2" x14ac:dyDescent="0.2">
      <c r="A91" s="1">
        <v>1</v>
      </c>
      <c r="B91" s="1">
        <v>9</v>
      </c>
    </row>
    <row r="92" spans="1:2" x14ac:dyDescent="0.2">
      <c r="A92" s="1">
        <v>0</v>
      </c>
      <c r="B92" s="1">
        <v>2</v>
      </c>
    </row>
    <row r="93" spans="1:2" x14ac:dyDescent="0.2">
      <c r="A93" s="1">
        <v>1</v>
      </c>
      <c r="B93" s="1">
        <v>9</v>
      </c>
    </row>
    <row r="94" spans="1:2" x14ac:dyDescent="0.2">
      <c r="A94" s="1">
        <v>1</v>
      </c>
      <c r="B94" s="1">
        <v>5</v>
      </c>
    </row>
    <row r="95" spans="1:2" x14ac:dyDescent="0.2">
      <c r="A95" s="1">
        <v>0</v>
      </c>
      <c r="B95" s="1">
        <v>6</v>
      </c>
    </row>
    <row r="96" spans="1:2" x14ac:dyDescent="0.2">
      <c r="A96" s="1">
        <v>0</v>
      </c>
      <c r="B96" s="1">
        <v>6</v>
      </c>
    </row>
    <row r="97" spans="1:2" x14ac:dyDescent="0.2">
      <c r="A97" s="1">
        <v>1</v>
      </c>
      <c r="B97" s="1">
        <v>5</v>
      </c>
    </row>
    <row r="98" spans="1:2" x14ac:dyDescent="0.2">
      <c r="A98" s="1">
        <v>0</v>
      </c>
      <c r="B98" s="1">
        <v>1</v>
      </c>
    </row>
    <row r="99" spans="1:2" x14ac:dyDescent="0.2">
      <c r="A99" s="1">
        <v>0</v>
      </c>
      <c r="B99" s="1">
        <v>3</v>
      </c>
    </row>
    <row r="100" spans="1:2" x14ac:dyDescent="0.2">
      <c r="A100" s="1">
        <v>0</v>
      </c>
      <c r="B100" s="1">
        <v>3</v>
      </c>
    </row>
    <row r="101" spans="1:2" x14ac:dyDescent="0.2">
      <c r="A101" s="1">
        <v>0</v>
      </c>
      <c r="B101" s="1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025F-8D1D-4294-8B92-B1E83D44E31F}">
  <dimension ref="A1:B61"/>
  <sheetViews>
    <sheetView workbookViewId="0">
      <selection activeCell="I13" sqref="I13"/>
    </sheetView>
  </sheetViews>
  <sheetFormatPr baseColWidth="10" defaultColWidth="8.83203125" defaultRowHeight="15" x14ac:dyDescent="0.2"/>
  <cols>
    <col min="1" max="1" width="9.6640625" customWidth="1"/>
    <col min="2" max="2" width="9.83203125" customWidth="1"/>
  </cols>
  <sheetData>
    <row r="1" spans="1:2" x14ac:dyDescent="0.2">
      <c r="A1" s="1" t="s">
        <v>228</v>
      </c>
      <c r="B1" s="1" t="s">
        <v>229</v>
      </c>
    </row>
    <row r="2" spans="1:2" x14ac:dyDescent="0.2">
      <c r="A2" s="1">
        <v>85</v>
      </c>
      <c r="B2" s="1">
        <v>90</v>
      </c>
    </row>
    <row r="3" spans="1:2" x14ac:dyDescent="0.2">
      <c r="A3" s="1">
        <v>102</v>
      </c>
      <c r="B3" s="1">
        <v>79</v>
      </c>
    </row>
    <row r="4" spans="1:2" x14ac:dyDescent="0.2">
      <c r="A4" s="1">
        <v>139</v>
      </c>
      <c r="B4" s="1">
        <v>71</v>
      </c>
    </row>
    <row r="5" spans="1:2" x14ac:dyDescent="0.2">
      <c r="A5" s="1">
        <v>90</v>
      </c>
      <c r="B5" s="1">
        <v>119</v>
      </c>
    </row>
    <row r="6" spans="1:2" x14ac:dyDescent="0.2">
      <c r="A6" s="1">
        <v>89</v>
      </c>
      <c r="B6" s="1">
        <v>90</v>
      </c>
    </row>
    <row r="7" spans="1:2" x14ac:dyDescent="0.2">
      <c r="A7" s="1">
        <v>52</v>
      </c>
      <c r="B7" s="1">
        <v>180</v>
      </c>
    </row>
    <row r="8" spans="1:2" x14ac:dyDescent="0.2">
      <c r="A8" s="1">
        <v>49</v>
      </c>
      <c r="B8" s="1">
        <v>88</v>
      </c>
    </row>
    <row r="9" spans="1:2" x14ac:dyDescent="0.2">
      <c r="A9" s="1">
        <v>140</v>
      </c>
      <c r="B9" s="1">
        <v>56</v>
      </c>
    </row>
    <row r="10" spans="1:2" x14ac:dyDescent="0.2">
      <c r="A10" s="1">
        <v>90</v>
      </c>
      <c r="B10" s="1">
        <v>110</v>
      </c>
    </row>
    <row r="11" spans="1:2" x14ac:dyDescent="0.2">
      <c r="A11" s="1">
        <v>64</v>
      </c>
      <c r="B11" s="1">
        <v>82</v>
      </c>
    </row>
    <row r="12" spans="1:2" x14ac:dyDescent="0.2">
      <c r="A12" s="1">
        <v>96</v>
      </c>
      <c r="B12" s="1">
        <v>64</v>
      </c>
    </row>
    <row r="13" spans="1:2" x14ac:dyDescent="0.2">
      <c r="A13" s="1">
        <v>132</v>
      </c>
      <c r="B13" s="1">
        <v>129</v>
      </c>
    </row>
    <row r="14" spans="1:2" x14ac:dyDescent="0.2">
      <c r="A14" s="1">
        <v>117</v>
      </c>
      <c r="B14" s="1">
        <v>28</v>
      </c>
    </row>
    <row r="15" spans="1:2" x14ac:dyDescent="0.2">
      <c r="A15" s="1">
        <v>88</v>
      </c>
      <c r="B15" s="1">
        <v>13</v>
      </c>
    </row>
    <row r="16" spans="1:2" x14ac:dyDescent="0.2">
      <c r="A16" s="1">
        <v>92</v>
      </c>
      <c r="B16" s="1">
        <v>140</v>
      </c>
    </row>
    <row r="17" spans="1:2" x14ac:dyDescent="0.2">
      <c r="A17" s="1">
        <v>105</v>
      </c>
      <c r="B17" s="1">
        <v>62</v>
      </c>
    </row>
    <row r="18" spans="1:2" x14ac:dyDescent="0.2">
      <c r="A18" s="1">
        <v>95</v>
      </c>
      <c r="B18" s="1">
        <v>32</v>
      </c>
    </row>
    <row r="19" spans="1:2" x14ac:dyDescent="0.2">
      <c r="A19" s="1">
        <v>119</v>
      </c>
      <c r="B19" s="1">
        <v>220</v>
      </c>
    </row>
    <row r="20" spans="1:2" x14ac:dyDescent="0.2">
      <c r="A20" s="1">
        <v>118</v>
      </c>
      <c r="B20" s="1">
        <v>72</v>
      </c>
    </row>
    <row r="21" spans="1:2" x14ac:dyDescent="0.2">
      <c r="A21" s="1">
        <v>124</v>
      </c>
      <c r="B21" s="1">
        <v>90</v>
      </c>
    </row>
    <row r="22" spans="1:2" x14ac:dyDescent="0.2">
      <c r="A22" s="1">
        <v>131</v>
      </c>
      <c r="B22" s="1">
        <v>80</v>
      </c>
    </row>
    <row r="23" spans="1:2" x14ac:dyDescent="0.2">
      <c r="A23" s="1">
        <v>113</v>
      </c>
      <c r="B23" s="1">
        <v>56</v>
      </c>
    </row>
    <row r="24" spans="1:2" x14ac:dyDescent="0.2">
      <c r="A24" s="1">
        <v>124</v>
      </c>
      <c r="B24" s="1">
        <v>82</v>
      </c>
    </row>
    <row r="25" spans="1:2" x14ac:dyDescent="0.2">
      <c r="A25" s="1">
        <v>71</v>
      </c>
      <c r="B25" s="1">
        <v>56</v>
      </c>
    </row>
    <row r="26" spans="1:2" x14ac:dyDescent="0.2">
      <c r="A26" s="1">
        <v>115</v>
      </c>
      <c r="B26" s="1">
        <v>88</v>
      </c>
    </row>
    <row r="27" spans="1:2" x14ac:dyDescent="0.2">
      <c r="A27" s="1">
        <v>95</v>
      </c>
      <c r="B27" s="1">
        <v>104</v>
      </c>
    </row>
    <row r="28" spans="1:2" x14ac:dyDescent="0.2">
      <c r="A28" s="1">
        <v>102</v>
      </c>
      <c r="B28" s="1">
        <v>54</v>
      </c>
    </row>
    <row r="29" spans="1:2" x14ac:dyDescent="0.2">
      <c r="A29" s="1">
        <v>94</v>
      </c>
      <c r="B29" s="1">
        <v>108</v>
      </c>
    </row>
    <row r="30" spans="1:2" x14ac:dyDescent="0.2">
      <c r="A30" s="1">
        <v>111</v>
      </c>
      <c r="B30" s="1">
        <v>86</v>
      </c>
    </row>
    <row r="31" spans="1:2" x14ac:dyDescent="0.2">
      <c r="A31" s="1">
        <v>85</v>
      </c>
      <c r="B31" s="1">
        <v>88</v>
      </c>
    </row>
    <row r="32" spans="1:2" x14ac:dyDescent="0.2">
      <c r="A32" s="1">
        <v>87</v>
      </c>
      <c r="B32" s="1">
        <v>38</v>
      </c>
    </row>
    <row r="33" spans="1:2" x14ac:dyDescent="0.2">
      <c r="A33" s="1">
        <v>92</v>
      </c>
      <c r="B33" s="1">
        <v>66</v>
      </c>
    </row>
    <row r="34" spans="1:2" x14ac:dyDescent="0.2">
      <c r="A34" s="1">
        <v>92</v>
      </c>
      <c r="B34" s="1">
        <v>100</v>
      </c>
    </row>
    <row r="35" spans="1:2" x14ac:dyDescent="0.2">
      <c r="A35" s="1">
        <v>72</v>
      </c>
      <c r="B35" s="1">
        <v>57</v>
      </c>
    </row>
    <row r="36" spans="1:2" x14ac:dyDescent="0.2">
      <c r="A36" s="1">
        <v>97</v>
      </c>
      <c r="B36" s="1">
        <v>59</v>
      </c>
    </row>
    <row r="37" spans="1:2" x14ac:dyDescent="0.2">
      <c r="A37" s="1">
        <v>83</v>
      </c>
      <c r="B37" s="1">
        <v>89</v>
      </c>
    </row>
    <row r="38" spans="1:2" x14ac:dyDescent="0.2">
      <c r="A38" s="1">
        <v>118</v>
      </c>
      <c r="B38" s="1">
        <v>95</v>
      </c>
    </row>
    <row r="39" spans="1:2" x14ac:dyDescent="0.2">
      <c r="A39" s="1">
        <v>108</v>
      </c>
      <c r="B39" s="1">
        <v>37</v>
      </c>
    </row>
    <row r="40" spans="1:2" x14ac:dyDescent="0.2">
      <c r="A40" s="1">
        <v>104</v>
      </c>
      <c r="B40" s="1">
        <v>86</v>
      </c>
    </row>
    <row r="41" spans="1:2" x14ac:dyDescent="0.2">
      <c r="A41" s="1">
        <v>110</v>
      </c>
      <c r="B41" s="1">
        <v>62</v>
      </c>
    </row>
    <row r="42" spans="1:2" x14ac:dyDescent="0.2">
      <c r="A42" s="1"/>
      <c r="B42" s="1">
        <v>66</v>
      </c>
    </row>
    <row r="43" spans="1:2" x14ac:dyDescent="0.2">
      <c r="A43" s="1"/>
      <c r="B43" s="1">
        <v>129</v>
      </c>
    </row>
    <row r="44" spans="1:2" x14ac:dyDescent="0.2">
      <c r="A44" s="1"/>
      <c r="B44" s="1">
        <v>119</v>
      </c>
    </row>
    <row r="45" spans="1:2" x14ac:dyDescent="0.2">
      <c r="A45" s="1"/>
      <c r="B45" s="1">
        <v>76</v>
      </c>
    </row>
    <row r="46" spans="1:2" x14ac:dyDescent="0.2">
      <c r="A46" s="1"/>
      <c r="B46" s="1">
        <v>75</v>
      </c>
    </row>
    <row r="47" spans="1:2" x14ac:dyDescent="0.2">
      <c r="A47" s="1"/>
      <c r="B47" s="1">
        <v>101</v>
      </c>
    </row>
    <row r="48" spans="1:2" x14ac:dyDescent="0.2">
      <c r="A48" s="1"/>
      <c r="B48" s="1">
        <v>85</v>
      </c>
    </row>
    <row r="49" spans="1:2" x14ac:dyDescent="0.2">
      <c r="A49" s="1"/>
      <c r="B49" s="1">
        <v>68</v>
      </c>
    </row>
    <row r="50" spans="1:2" x14ac:dyDescent="0.2">
      <c r="A50" s="1"/>
      <c r="B50" s="1">
        <v>67</v>
      </c>
    </row>
    <row r="51" spans="1:2" x14ac:dyDescent="0.2">
      <c r="A51" s="1"/>
      <c r="B51" s="1">
        <v>36</v>
      </c>
    </row>
    <row r="52" spans="1:2" x14ac:dyDescent="0.2">
      <c r="A52" s="1"/>
      <c r="B52" s="1">
        <v>90</v>
      </c>
    </row>
    <row r="53" spans="1:2" x14ac:dyDescent="0.2">
      <c r="A53" s="1"/>
      <c r="B53" s="1">
        <v>99</v>
      </c>
    </row>
    <row r="54" spans="1:2" x14ac:dyDescent="0.2">
      <c r="A54" s="1"/>
      <c r="B54" s="1">
        <v>64</v>
      </c>
    </row>
    <row r="55" spans="1:2" x14ac:dyDescent="0.2">
      <c r="A55" s="1"/>
      <c r="B55" s="1">
        <v>54</v>
      </c>
    </row>
    <row r="56" spans="1:2" x14ac:dyDescent="0.2">
      <c r="A56" s="1"/>
      <c r="B56" s="1">
        <v>86</v>
      </c>
    </row>
    <row r="57" spans="1:2" x14ac:dyDescent="0.2">
      <c r="A57" s="1"/>
      <c r="B57" s="1">
        <v>79</v>
      </c>
    </row>
    <row r="58" spans="1:2" x14ac:dyDescent="0.2">
      <c r="A58" s="1"/>
      <c r="B58" s="1">
        <v>82</v>
      </c>
    </row>
    <row r="59" spans="1:2" x14ac:dyDescent="0.2">
      <c r="A59" s="1"/>
      <c r="B59" s="1">
        <v>65</v>
      </c>
    </row>
    <row r="60" spans="1:2" x14ac:dyDescent="0.2">
      <c r="A60" s="1"/>
      <c r="B60" s="1">
        <v>110</v>
      </c>
    </row>
    <row r="61" spans="1:2" x14ac:dyDescent="0.2">
      <c r="A61" s="1"/>
      <c r="B61" s="1">
        <v>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44"/>
  <sheetViews>
    <sheetView workbookViewId="0">
      <selection activeCell="H38" sqref="H38"/>
    </sheetView>
  </sheetViews>
  <sheetFormatPr baseColWidth="10" defaultColWidth="8.83203125" defaultRowHeight="15" x14ac:dyDescent="0.2"/>
  <cols>
    <col min="1" max="1" width="46" style="1" bestFit="1" customWidth="1"/>
    <col min="2" max="2" width="8.5" style="1" bestFit="1" customWidth="1"/>
    <col min="3" max="3" width="10.6640625" style="1" bestFit="1" customWidth="1"/>
    <col min="4" max="4" width="8" style="1" bestFit="1" customWidth="1"/>
    <col min="5" max="5" width="9" style="1" bestFit="1" customWidth="1"/>
  </cols>
  <sheetData>
    <row r="1" spans="1:5" ht="17" x14ac:dyDescent="0.2">
      <c r="A1" s="4" t="s">
        <v>35</v>
      </c>
      <c r="B1" s="5" t="s">
        <v>36</v>
      </c>
      <c r="C1" s="5" t="s">
        <v>37</v>
      </c>
      <c r="D1" s="5" t="s">
        <v>38</v>
      </c>
      <c r="E1" s="5" t="s">
        <v>39</v>
      </c>
    </row>
    <row r="2" spans="1:5" ht="16" x14ac:dyDescent="0.2">
      <c r="A2" s="4" t="s">
        <v>40</v>
      </c>
      <c r="B2" s="4">
        <v>1</v>
      </c>
      <c r="C2" s="6">
        <v>145.52359000000001</v>
      </c>
      <c r="D2" s="4">
        <v>8</v>
      </c>
      <c r="E2" s="4">
        <v>23</v>
      </c>
    </row>
    <row r="3" spans="1:5" ht="16" x14ac:dyDescent="0.2">
      <c r="A3" s="4" t="s">
        <v>41</v>
      </c>
      <c r="B3" s="4">
        <v>1</v>
      </c>
      <c r="C3" s="6">
        <v>237.52115499999999</v>
      </c>
      <c r="D3" s="4">
        <v>16</v>
      </c>
      <c r="E3" s="4">
        <v>23</v>
      </c>
    </row>
    <row r="4" spans="1:5" ht="16" x14ac:dyDescent="0.2">
      <c r="A4" s="4" t="s">
        <v>42</v>
      </c>
      <c r="B4" s="4">
        <v>1</v>
      </c>
      <c r="C4" s="6">
        <v>146.98400000000001</v>
      </c>
      <c r="D4" s="4">
        <v>12</v>
      </c>
      <c r="E4" s="4">
        <v>20</v>
      </c>
    </row>
    <row r="5" spans="1:5" ht="16" x14ac:dyDescent="0.2">
      <c r="A5" s="4" t="s">
        <v>43</v>
      </c>
      <c r="B5" s="4">
        <v>1</v>
      </c>
      <c r="C5" s="6">
        <v>304.22500000000002</v>
      </c>
      <c r="D5" s="4">
        <v>11</v>
      </c>
      <c r="E5" s="4">
        <v>25</v>
      </c>
    </row>
    <row r="6" spans="1:5" ht="16" x14ac:dyDescent="0.2">
      <c r="A6" s="4" t="s">
        <v>44</v>
      </c>
      <c r="B6" s="4">
        <v>12</v>
      </c>
      <c r="C6" s="6">
        <v>343.42377699999997</v>
      </c>
      <c r="D6" s="4">
        <v>9</v>
      </c>
      <c r="E6" s="4">
        <v>32</v>
      </c>
    </row>
    <row r="7" spans="1:5" ht="16" x14ac:dyDescent="0.2">
      <c r="A7" s="4" t="s">
        <v>45</v>
      </c>
      <c r="B7" s="4">
        <v>0</v>
      </c>
      <c r="C7" s="6">
        <v>10.712</v>
      </c>
      <c r="D7" s="4">
        <v>0</v>
      </c>
      <c r="E7" s="4">
        <v>7</v>
      </c>
    </row>
    <row r="8" spans="1:5" ht="16" x14ac:dyDescent="0.2">
      <c r="A8" s="4" t="s">
        <v>46</v>
      </c>
      <c r="B8" s="4">
        <v>9</v>
      </c>
      <c r="C8" s="6">
        <v>26.36</v>
      </c>
      <c r="D8" s="4">
        <v>3</v>
      </c>
      <c r="E8" s="4">
        <v>22</v>
      </c>
    </row>
    <row r="9" spans="1:5" ht="16" x14ac:dyDescent="0.2">
      <c r="A9" s="4" t="s">
        <v>47</v>
      </c>
      <c r="B9" s="4">
        <v>0</v>
      </c>
      <c r="C9" s="6">
        <v>14.87</v>
      </c>
      <c r="D9" s="4">
        <v>0</v>
      </c>
      <c r="E9" s="4">
        <v>8</v>
      </c>
    </row>
    <row r="10" spans="1:5" ht="16" x14ac:dyDescent="0.2">
      <c r="A10" s="4" t="s">
        <v>48</v>
      </c>
      <c r="B10" s="4">
        <v>10</v>
      </c>
      <c r="C10" s="6">
        <v>229.28</v>
      </c>
      <c r="D10" s="4">
        <v>21</v>
      </c>
      <c r="E10" s="4">
        <v>16</v>
      </c>
    </row>
    <row r="11" spans="1:5" ht="16" x14ac:dyDescent="0.2">
      <c r="A11" s="4" t="s">
        <v>49</v>
      </c>
      <c r="B11" s="4">
        <v>3</v>
      </c>
      <c r="C11" s="6">
        <v>139.28367800000001</v>
      </c>
      <c r="D11" s="4">
        <v>15</v>
      </c>
      <c r="E11" s="4">
        <v>21</v>
      </c>
    </row>
    <row r="12" spans="1:5" ht="16" x14ac:dyDescent="0.2">
      <c r="A12" s="4" t="s">
        <v>50</v>
      </c>
      <c r="B12" s="4">
        <v>3</v>
      </c>
      <c r="C12" s="6">
        <v>302.61294299999997</v>
      </c>
      <c r="D12" s="4">
        <v>9</v>
      </c>
      <c r="E12" s="4">
        <v>38</v>
      </c>
    </row>
    <row r="13" spans="1:5" ht="16" x14ac:dyDescent="0.2">
      <c r="A13" s="4" t="s">
        <v>51</v>
      </c>
      <c r="B13" s="4">
        <v>10</v>
      </c>
      <c r="C13" s="6">
        <v>640</v>
      </c>
      <c r="D13" s="4">
        <v>59</v>
      </c>
      <c r="E13" s="4">
        <v>26</v>
      </c>
    </row>
    <row r="14" spans="1:5" ht="16" x14ac:dyDescent="0.2">
      <c r="A14" s="4" t="s">
        <v>52</v>
      </c>
      <c r="B14" s="4">
        <v>5</v>
      </c>
      <c r="C14" s="6">
        <v>668.22745499999996</v>
      </c>
      <c r="D14" s="4">
        <v>54</v>
      </c>
      <c r="E14" s="4">
        <v>29</v>
      </c>
    </row>
    <row r="15" spans="1:5" ht="16" x14ac:dyDescent="0.2">
      <c r="A15" s="4" t="s">
        <v>53</v>
      </c>
      <c r="B15" s="4">
        <v>1</v>
      </c>
      <c r="C15" s="6">
        <v>174.109072</v>
      </c>
      <c r="D15" s="4">
        <v>13</v>
      </c>
      <c r="E15" s="4">
        <v>23</v>
      </c>
    </row>
    <row r="16" spans="1:5" ht="16" x14ac:dyDescent="0.2">
      <c r="A16" s="4" t="s">
        <v>54</v>
      </c>
      <c r="B16" s="4">
        <v>4</v>
      </c>
      <c r="C16" s="6">
        <v>102.209005</v>
      </c>
      <c r="D16" s="4">
        <v>8</v>
      </c>
      <c r="E16" s="4">
        <v>13</v>
      </c>
    </row>
    <row r="17" spans="1:5" ht="16" x14ac:dyDescent="0.2">
      <c r="A17" s="4" t="s">
        <v>55</v>
      </c>
      <c r="B17" s="4">
        <v>7</v>
      </c>
      <c r="C17" s="6">
        <v>678.18424800000003</v>
      </c>
      <c r="D17" s="4">
        <v>32</v>
      </c>
      <c r="E17" s="4">
        <v>22</v>
      </c>
    </row>
    <row r="18" spans="1:5" ht="16" x14ac:dyDescent="0.2">
      <c r="A18" s="4" t="s">
        <v>56</v>
      </c>
      <c r="B18" s="4">
        <v>0</v>
      </c>
      <c r="C18" s="6">
        <v>13.2</v>
      </c>
      <c r="D18" s="4">
        <v>1</v>
      </c>
      <c r="E18" s="4">
        <v>9</v>
      </c>
    </row>
    <row r="19" spans="1:5" ht="16" x14ac:dyDescent="0.2">
      <c r="A19" s="4" t="s">
        <v>57</v>
      </c>
      <c r="B19" s="4">
        <v>1</v>
      </c>
      <c r="C19" s="6">
        <v>16.192</v>
      </c>
      <c r="D19" s="4">
        <v>4</v>
      </c>
      <c r="E19" s="4">
        <v>13</v>
      </c>
    </row>
    <row r="20" spans="1:5" ht="16" x14ac:dyDescent="0.2">
      <c r="A20" s="4" t="s">
        <v>58</v>
      </c>
      <c r="B20" s="4">
        <v>0</v>
      </c>
      <c r="C20" s="6">
        <v>30.777000000000001</v>
      </c>
      <c r="D20" s="4">
        <v>3</v>
      </c>
      <c r="E20" s="4">
        <v>9</v>
      </c>
    </row>
    <row r="21" spans="1:5" ht="16" x14ac:dyDescent="0.2">
      <c r="A21" s="4" t="s">
        <v>59</v>
      </c>
      <c r="B21" s="4">
        <v>3</v>
      </c>
      <c r="C21" s="6">
        <v>390.965216</v>
      </c>
      <c r="D21" s="4">
        <v>3</v>
      </c>
      <c r="E21" s="4">
        <v>23</v>
      </c>
    </row>
    <row r="22" spans="1:5" ht="16" x14ac:dyDescent="0.2">
      <c r="A22" s="4" t="s">
        <v>60</v>
      </c>
      <c r="B22" s="4">
        <v>0</v>
      </c>
      <c r="C22" s="6">
        <v>43.249099999999999</v>
      </c>
      <c r="D22" s="4">
        <v>2</v>
      </c>
      <c r="E22" s="4">
        <v>12</v>
      </c>
    </row>
    <row r="23" spans="1:5" ht="16" x14ac:dyDescent="0.2">
      <c r="A23" s="4" t="s">
        <v>61</v>
      </c>
      <c r="B23" s="4">
        <v>3</v>
      </c>
      <c r="C23" s="6">
        <v>206.54184799999999</v>
      </c>
      <c r="D23" s="4">
        <v>11</v>
      </c>
      <c r="E23" s="4">
        <v>12</v>
      </c>
    </row>
    <row r="24" spans="1:5" ht="16" x14ac:dyDescent="0.2">
      <c r="A24" s="4" t="s">
        <v>62</v>
      </c>
      <c r="B24" s="4">
        <v>5</v>
      </c>
      <c r="C24" s="6">
        <v>79.883242999999993</v>
      </c>
      <c r="D24" s="4">
        <v>5</v>
      </c>
      <c r="E24" s="4">
        <v>12</v>
      </c>
    </row>
    <row r="25" spans="1:5" ht="16" x14ac:dyDescent="0.2">
      <c r="A25" s="4" t="s">
        <v>63</v>
      </c>
      <c r="B25" s="4">
        <v>0</v>
      </c>
      <c r="C25" s="6">
        <v>144.95699999999999</v>
      </c>
      <c r="D25" s="4">
        <v>12</v>
      </c>
      <c r="E25" s="4">
        <v>15</v>
      </c>
    </row>
    <row r="26" spans="1:5" ht="16" x14ac:dyDescent="0.2">
      <c r="A26" s="4" t="s">
        <v>64</v>
      </c>
      <c r="B26" s="4">
        <v>9</v>
      </c>
      <c r="C26" s="6">
        <v>536.41254800000002</v>
      </c>
      <c r="D26" s="4">
        <v>46</v>
      </c>
      <c r="E26" s="4">
        <v>18</v>
      </c>
    </row>
    <row r="27" spans="1:5" ht="16" x14ac:dyDescent="0.2">
      <c r="A27" s="4" t="s">
        <v>65</v>
      </c>
      <c r="B27" s="4">
        <v>12</v>
      </c>
      <c r="C27" s="6">
        <v>660.08150000000001</v>
      </c>
      <c r="D27" s="4">
        <v>55</v>
      </c>
      <c r="E27" s="4">
        <v>31</v>
      </c>
    </row>
    <row r="28" spans="1:5" ht="16" x14ac:dyDescent="0.2">
      <c r="A28" s="4" t="s">
        <v>66</v>
      </c>
      <c r="B28" s="4">
        <v>2</v>
      </c>
      <c r="C28" s="6">
        <v>404.62154900000002</v>
      </c>
      <c r="D28" s="4">
        <v>8</v>
      </c>
      <c r="E28" s="4">
        <v>17</v>
      </c>
    </row>
    <row r="29" spans="1:5" ht="16" x14ac:dyDescent="0.2">
      <c r="A29" s="4" t="s">
        <v>67</v>
      </c>
      <c r="B29" s="4">
        <v>2</v>
      </c>
      <c r="C29" s="6">
        <v>251.67400000000001</v>
      </c>
      <c r="D29" s="4">
        <v>27</v>
      </c>
      <c r="E29" s="4">
        <v>73</v>
      </c>
    </row>
    <row r="30" spans="1:5" ht="16" x14ac:dyDescent="0.2">
      <c r="A30" s="4" t="s">
        <v>68</v>
      </c>
      <c r="B30" s="4">
        <v>12</v>
      </c>
      <c r="C30" s="6">
        <v>1183.768</v>
      </c>
      <c r="D30" s="4">
        <v>45</v>
      </c>
      <c r="E30" s="4">
        <v>35</v>
      </c>
    </row>
    <row r="31" spans="1:5" ht="16" x14ac:dyDescent="0.2">
      <c r="A31" s="4" t="s">
        <v>69</v>
      </c>
      <c r="B31" s="4">
        <v>1</v>
      </c>
      <c r="C31" s="6">
        <v>819.288904</v>
      </c>
      <c r="D31" s="4">
        <v>23</v>
      </c>
      <c r="E31" s="4">
        <v>9</v>
      </c>
    </row>
    <row r="32" spans="1:5" ht="16" x14ac:dyDescent="0.2">
      <c r="A32" s="4" t="s">
        <v>70</v>
      </c>
      <c r="B32" s="4">
        <v>3</v>
      </c>
      <c r="C32" s="6">
        <v>95.878594000000007</v>
      </c>
      <c r="D32" s="4">
        <v>5</v>
      </c>
      <c r="E32" s="4">
        <v>66</v>
      </c>
    </row>
    <row r="33" spans="1:5" ht="16" x14ac:dyDescent="0.2">
      <c r="A33" s="4" t="s">
        <v>71</v>
      </c>
      <c r="B33" s="4">
        <v>0</v>
      </c>
      <c r="C33" s="6">
        <v>18.444358000000001</v>
      </c>
      <c r="D33" s="4">
        <v>8</v>
      </c>
      <c r="E33" s="4">
        <v>19</v>
      </c>
    </row>
    <row r="34" spans="1:5" ht="16" x14ac:dyDescent="0.2">
      <c r="A34" s="4" t="s">
        <v>72</v>
      </c>
      <c r="B34" s="4">
        <v>2</v>
      </c>
      <c r="C34" s="6">
        <v>391.767</v>
      </c>
      <c r="D34" s="4">
        <v>25</v>
      </c>
      <c r="E34" s="4">
        <v>22</v>
      </c>
    </row>
    <row r="35" spans="1:5" ht="16" x14ac:dyDescent="0.2">
      <c r="A35" s="4" t="s">
        <v>73</v>
      </c>
      <c r="B35" s="4">
        <v>1</v>
      </c>
      <c r="C35" s="6">
        <v>19.405999999999999</v>
      </c>
      <c r="D35" s="4">
        <v>6</v>
      </c>
      <c r="E35" s="4">
        <v>8</v>
      </c>
    </row>
    <row r="36" spans="1:5" ht="16" x14ac:dyDescent="0.2">
      <c r="A36" s="4" t="s">
        <v>74</v>
      </c>
      <c r="B36" s="4">
        <v>20</v>
      </c>
      <c r="C36" s="6">
        <v>1319</v>
      </c>
      <c r="D36" s="4">
        <v>140</v>
      </c>
      <c r="E36" s="4">
        <v>68</v>
      </c>
    </row>
    <row r="37" spans="1:5" ht="16" x14ac:dyDescent="0.2">
      <c r="A37" s="4" t="s">
        <v>75</v>
      </c>
      <c r="B37" s="4">
        <v>0</v>
      </c>
      <c r="C37" s="6">
        <v>57.085169</v>
      </c>
      <c r="D37" s="4">
        <v>1</v>
      </c>
      <c r="E37" s="4">
        <v>7</v>
      </c>
    </row>
    <row r="38" spans="1:5" ht="16" x14ac:dyDescent="0.2">
      <c r="A38" s="4" t="s">
        <v>76</v>
      </c>
      <c r="B38" s="4">
        <v>1</v>
      </c>
      <c r="C38" s="6">
        <v>134.19999999999999</v>
      </c>
      <c r="D38" s="4">
        <v>4</v>
      </c>
      <c r="E38" s="4">
        <v>24</v>
      </c>
    </row>
    <row r="39" spans="1:5" ht="16" x14ac:dyDescent="0.2">
      <c r="A39" s="4" t="s">
        <v>77</v>
      </c>
      <c r="B39" s="4">
        <v>2</v>
      </c>
      <c r="C39" s="6">
        <v>161.16234600000001</v>
      </c>
      <c r="D39" s="4">
        <v>0</v>
      </c>
      <c r="E39" s="4">
        <v>14</v>
      </c>
    </row>
    <row r="40" spans="1:5" ht="16" x14ac:dyDescent="0.2">
      <c r="A40" s="4" t="s">
        <v>78</v>
      </c>
      <c r="B40" s="4">
        <v>3</v>
      </c>
      <c r="C40" s="6">
        <v>356.767</v>
      </c>
      <c r="D40" s="4">
        <v>48</v>
      </c>
      <c r="E40" s="4">
        <v>16</v>
      </c>
    </row>
    <row r="41" spans="1:5" ht="16" x14ac:dyDescent="0.2">
      <c r="A41" s="4" t="s">
        <v>79</v>
      </c>
      <c r="B41" s="4">
        <v>2</v>
      </c>
      <c r="C41" s="6">
        <v>60.356000000000002</v>
      </c>
      <c r="D41" s="4">
        <v>8</v>
      </c>
      <c r="E41" s="4">
        <v>20</v>
      </c>
    </row>
    <row r="42" spans="1:5" ht="16" x14ac:dyDescent="0.2">
      <c r="A42" s="4" t="s">
        <v>80</v>
      </c>
      <c r="B42" s="4">
        <v>4</v>
      </c>
      <c r="C42" s="6">
        <v>210.95099999999999</v>
      </c>
      <c r="D42" s="4">
        <v>7</v>
      </c>
      <c r="E42" s="4">
        <v>13</v>
      </c>
    </row>
    <row r="43" spans="1:5" ht="16" x14ac:dyDescent="0.2">
      <c r="A43" s="4" t="s">
        <v>81</v>
      </c>
      <c r="B43" s="4">
        <v>2</v>
      </c>
      <c r="C43" s="6">
        <v>96.150553000000002</v>
      </c>
      <c r="D43" s="4">
        <v>9</v>
      </c>
      <c r="E43" s="4">
        <v>28</v>
      </c>
    </row>
    <row r="44" spans="1:5" ht="16" x14ac:dyDescent="0.2">
      <c r="A44" s="4" t="s">
        <v>82</v>
      </c>
      <c r="B44" s="4">
        <v>0</v>
      </c>
      <c r="C44" s="6">
        <v>296.379952</v>
      </c>
      <c r="D44" s="4">
        <v>13</v>
      </c>
      <c r="E44" s="4">
        <v>17</v>
      </c>
    </row>
    <row r="45" spans="1:5" ht="16" x14ac:dyDescent="0.2">
      <c r="A45" s="4" t="s">
        <v>83</v>
      </c>
      <c r="B45" s="4">
        <v>0</v>
      </c>
      <c r="C45" s="6">
        <v>89.792000000000002</v>
      </c>
      <c r="D45" s="4">
        <v>11</v>
      </c>
      <c r="E45" s="4">
        <v>18</v>
      </c>
    </row>
    <row r="46" spans="1:5" ht="16" x14ac:dyDescent="0.2">
      <c r="A46" s="4" t="s">
        <v>84</v>
      </c>
      <c r="B46" s="4">
        <v>0</v>
      </c>
      <c r="C46" s="6">
        <v>120.32337</v>
      </c>
      <c r="D46" s="4">
        <v>1</v>
      </c>
      <c r="E46" s="4">
        <v>18</v>
      </c>
    </row>
    <row r="47" spans="1:5" ht="16" x14ac:dyDescent="0.2">
      <c r="A47" s="4" t="s">
        <v>85</v>
      </c>
      <c r="B47" s="4">
        <v>6</v>
      </c>
      <c r="C47" s="6">
        <v>310.69900000000001</v>
      </c>
      <c r="D47" s="4">
        <v>30</v>
      </c>
      <c r="E47" s="4">
        <v>19</v>
      </c>
    </row>
    <row r="48" spans="1:5" ht="16" x14ac:dyDescent="0.2">
      <c r="A48" s="4" t="s">
        <v>86</v>
      </c>
      <c r="B48" s="4">
        <v>5</v>
      </c>
      <c r="C48" s="6">
        <v>366.137</v>
      </c>
      <c r="D48" s="4">
        <v>37</v>
      </c>
      <c r="E48" s="4">
        <v>24</v>
      </c>
    </row>
    <row r="49" spans="1:5" ht="16" x14ac:dyDescent="0.2">
      <c r="A49" s="4" t="s">
        <v>87</v>
      </c>
      <c r="B49" s="4">
        <v>0</v>
      </c>
      <c r="C49" s="6">
        <v>115.51300000000001</v>
      </c>
      <c r="D49" s="4">
        <v>9</v>
      </c>
      <c r="E49" s="4">
        <v>13</v>
      </c>
    </row>
    <row r="50" spans="1:5" ht="16" x14ac:dyDescent="0.2">
      <c r="A50" s="4" t="s">
        <v>88</v>
      </c>
      <c r="B50" s="4">
        <v>2</v>
      </c>
      <c r="C50" s="6">
        <v>56.727549000000003</v>
      </c>
      <c r="D50" s="4">
        <v>3</v>
      </c>
      <c r="E50" s="4">
        <v>8</v>
      </c>
    </row>
    <row r="51" spans="1:5" ht="16" x14ac:dyDescent="0.2">
      <c r="A51" s="4" t="s">
        <v>89</v>
      </c>
      <c r="B51" s="4">
        <v>5</v>
      </c>
      <c r="C51" s="6">
        <v>702.56347700000003</v>
      </c>
      <c r="D51" s="4">
        <v>15</v>
      </c>
      <c r="E51" s="4">
        <v>18</v>
      </c>
    </row>
    <row r="52" spans="1:5" ht="16" x14ac:dyDescent="0.2">
      <c r="A52" s="4" t="s">
        <v>90</v>
      </c>
      <c r="B52" s="4">
        <v>3</v>
      </c>
      <c r="C52" s="6">
        <v>25.977573</v>
      </c>
      <c r="D52" s="4">
        <v>5</v>
      </c>
      <c r="E52" s="4">
        <v>17</v>
      </c>
    </row>
    <row r="53" spans="1:5" ht="16" x14ac:dyDescent="0.2">
      <c r="A53" s="4" t="s">
        <v>91</v>
      </c>
      <c r="B53" s="4">
        <v>2</v>
      </c>
      <c r="C53" s="6">
        <v>138.75922700000001</v>
      </c>
      <c r="D53" s="4">
        <v>4</v>
      </c>
      <c r="E53" s="4">
        <v>13</v>
      </c>
    </row>
    <row r="54" spans="1:5" ht="16" x14ac:dyDescent="0.2">
      <c r="A54" s="4" t="s">
        <v>92</v>
      </c>
      <c r="B54" s="4">
        <v>4</v>
      </c>
      <c r="C54" s="6">
        <v>279.84936800000003</v>
      </c>
      <c r="D54" s="4">
        <v>13</v>
      </c>
      <c r="E54" s="4">
        <v>19</v>
      </c>
    </row>
    <row r="55" spans="1:5" ht="16" x14ac:dyDescent="0.2">
      <c r="A55" s="4" t="s">
        <v>93</v>
      </c>
      <c r="B55" s="4">
        <v>1</v>
      </c>
      <c r="C55" s="6">
        <v>188.05600000000001</v>
      </c>
      <c r="D55" s="4">
        <v>11</v>
      </c>
      <c r="E55" s="4">
        <v>28</v>
      </c>
    </row>
    <row r="56" spans="1:5" ht="16" x14ac:dyDescent="0.2">
      <c r="A56" s="4" t="s">
        <v>94</v>
      </c>
      <c r="B56" s="4">
        <v>1</v>
      </c>
      <c r="C56" s="6">
        <v>717.24400000000003</v>
      </c>
      <c r="D56" s="4">
        <v>38</v>
      </c>
      <c r="E56" s="4">
        <v>19</v>
      </c>
    </row>
    <row r="57" spans="1:5" ht="16" x14ac:dyDescent="0.2">
      <c r="A57" s="4" t="s">
        <v>95</v>
      </c>
      <c r="B57" s="4">
        <v>0</v>
      </c>
      <c r="C57" s="6">
        <v>40.146878999999998</v>
      </c>
      <c r="D57" s="4">
        <v>2</v>
      </c>
      <c r="E57" s="4">
        <v>3</v>
      </c>
    </row>
    <row r="58" spans="1:5" ht="16" x14ac:dyDescent="0.2">
      <c r="A58" s="4" t="s">
        <v>96</v>
      </c>
      <c r="B58" s="4">
        <v>11</v>
      </c>
      <c r="C58" s="6">
        <v>495.09899999999999</v>
      </c>
      <c r="D58" s="4">
        <v>24</v>
      </c>
      <c r="E58" s="4">
        <v>20</v>
      </c>
    </row>
    <row r="59" spans="1:5" ht="16" x14ac:dyDescent="0.2">
      <c r="A59" s="4" t="s">
        <v>97</v>
      </c>
      <c r="B59" s="4">
        <v>1</v>
      </c>
      <c r="C59" s="6">
        <v>63.197369000000002</v>
      </c>
      <c r="D59" s="4">
        <v>20</v>
      </c>
      <c r="E59" s="4">
        <v>15</v>
      </c>
    </row>
    <row r="60" spans="1:5" ht="16" x14ac:dyDescent="0.2">
      <c r="A60" s="4" t="s">
        <v>98</v>
      </c>
      <c r="B60" s="4">
        <v>10</v>
      </c>
      <c r="C60" s="6">
        <v>784.32427900000005</v>
      </c>
      <c r="D60" s="4">
        <v>44</v>
      </c>
      <c r="E60" s="4">
        <v>29</v>
      </c>
    </row>
    <row r="61" spans="1:5" ht="16" x14ac:dyDescent="0.2">
      <c r="A61" s="4" t="s">
        <v>99</v>
      </c>
      <c r="B61" s="4">
        <v>2</v>
      </c>
      <c r="C61" s="6">
        <v>83.562361999999993</v>
      </c>
      <c r="D61" s="4">
        <v>34</v>
      </c>
      <c r="E61" s="4">
        <v>10</v>
      </c>
    </row>
    <row r="62" spans="1:5" ht="16" x14ac:dyDescent="0.2">
      <c r="A62" s="4" t="s">
        <v>100</v>
      </c>
      <c r="B62" s="4">
        <v>2</v>
      </c>
      <c r="C62" s="6">
        <v>323.404</v>
      </c>
      <c r="D62" s="4">
        <v>36</v>
      </c>
      <c r="E62" s="4">
        <v>19</v>
      </c>
    </row>
    <row r="63" spans="1:5" ht="16" x14ac:dyDescent="0.2">
      <c r="A63" s="4" t="s">
        <v>101</v>
      </c>
      <c r="B63" s="4">
        <v>0</v>
      </c>
      <c r="C63" s="6">
        <v>106.850421</v>
      </c>
      <c r="D63" s="4">
        <v>1</v>
      </c>
      <c r="E63" s="4">
        <v>11</v>
      </c>
    </row>
    <row r="64" spans="1:5" ht="16" x14ac:dyDescent="0.2">
      <c r="A64" s="4" t="s">
        <v>102</v>
      </c>
      <c r="B64" s="4">
        <v>9</v>
      </c>
      <c r="C64" s="6">
        <v>694.21748500000001</v>
      </c>
      <c r="D64" s="4">
        <v>132</v>
      </c>
      <c r="E64" s="4">
        <v>38</v>
      </c>
    </row>
    <row r="65" spans="1:5" ht="16" x14ac:dyDescent="0.2">
      <c r="A65" s="4" t="s">
        <v>103</v>
      </c>
      <c r="B65" s="4">
        <v>2</v>
      </c>
      <c r="C65" s="6">
        <v>29.134765000000002</v>
      </c>
      <c r="D65" s="4">
        <v>3</v>
      </c>
      <c r="E65" s="4">
        <v>8</v>
      </c>
    </row>
    <row r="66" spans="1:5" ht="16" x14ac:dyDescent="0.2">
      <c r="A66" s="4" t="s">
        <v>104</v>
      </c>
      <c r="B66" s="4">
        <v>0</v>
      </c>
      <c r="C66" s="6">
        <v>150.376036</v>
      </c>
      <c r="D66" s="4">
        <v>4</v>
      </c>
      <c r="E66" s="4">
        <v>19</v>
      </c>
    </row>
    <row r="67" spans="1:5" ht="16" x14ac:dyDescent="0.2">
      <c r="A67" s="4" t="s">
        <v>105</v>
      </c>
      <c r="B67" s="4">
        <v>1</v>
      </c>
      <c r="C67" s="6">
        <v>582.36500000000001</v>
      </c>
      <c r="D67" s="4">
        <v>28</v>
      </c>
      <c r="E67" s="4">
        <v>16</v>
      </c>
    </row>
    <row r="68" spans="1:5" ht="16" x14ac:dyDescent="0.2">
      <c r="A68" s="4" t="s">
        <v>106</v>
      </c>
      <c r="B68" s="4">
        <v>1</v>
      </c>
      <c r="C68" s="6">
        <v>404.61500000000001</v>
      </c>
      <c r="D68" s="4">
        <v>10</v>
      </c>
      <c r="E68" s="4">
        <v>21</v>
      </c>
    </row>
    <row r="69" spans="1:5" ht="16" x14ac:dyDescent="0.2">
      <c r="A69" s="4" t="s">
        <v>107</v>
      </c>
      <c r="B69" s="4">
        <v>0</v>
      </c>
      <c r="C69" s="6">
        <v>94.031794000000005</v>
      </c>
      <c r="D69" s="4">
        <v>5</v>
      </c>
      <c r="E69" s="4">
        <v>24</v>
      </c>
    </row>
    <row r="70" spans="1:5" ht="16" x14ac:dyDescent="0.2">
      <c r="A70" s="4" t="s">
        <v>108</v>
      </c>
      <c r="B70" s="4">
        <v>2</v>
      </c>
      <c r="C70" s="6">
        <v>151.00769600000001</v>
      </c>
      <c r="D70" s="4">
        <v>8</v>
      </c>
      <c r="E70" s="4">
        <v>30</v>
      </c>
    </row>
    <row r="71" spans="1:5" ht="16" x14ac:dyDescent="0.2">
      <c r="A71" s="4" t="s">
        <v>109</v>
      </c>
      <c r="B71" s="4">
        <v>1</v>
      </c>
      <c r="C71" s="6">
        <v>146.87508299999999</v>
      </c>
      <c r="D71" s="4">
        <v>5</v>
      </c>
      <c r="E71" s="4">
        <v>23</v>
      </c>
    </row>
    <row r="72" spans="1:5" ht="16" x14ac:dyDescent="0.2">
      <c r="A72" s="4" t="s">
        <v>110</v>
      </c>
      <c r="B72" s="4">
        <v>5</v>
      </c>
      <c r="C72" s="6">
        <v>49.597813000000002</v>
      </c>
      <c r="D72" s="4">
        <v>4</v>
      </c>
      <c r="E72" s="4">
        <v>13</v>
      </c>
    </row>
    <row r="73" spans="1:5" ht="16" x14ac:dyDescent="0.2">
      <c r="A73" s="4" t="s">
        <v>111</v>
      </c>
      <c r="B73" s="4">
        <v>3</v>
      </c>
      <c r="C73" s="6">
        <v>32.845999999999997</v>
      </c>
      <c r="D73" s="4">
        <v>4</v>
      </c>
      <c r="E73" s="4">
        <v>2</v>
      </c>
    </row>
    <row r="74" spans="1:5" ht="16" x14ac:dyDescent="0.2">
      <c r="A74" s="4" t="s">
        <v>112</v>
      </c>
      <c r="B74" s="4">
        <v>10</v>
      </c>
      <c r="C74" s="6">
        <v>65.319999999999993</v>
      </c>
      <c r="D74" s="4">
        <v>1</v>
      </c>
      <c r="E74" s="4">
        <v>9</v>
      </c>
    </row>
    <row r="75" spans="1:5" ht="16" x14ac:dyDescent="0.2">
      <c r="A75" s="4" t="s">
        <v>113</v>
      </c>
      <c r="B75" s="4">
        <v>6</v>
      </c>
      <c r="C75" s="6">
        <v>547.19735900000001</v>
      </c>
      <c r="D75" s="4">
        <v>19</v>
      </c>
      <c r="E75" s="4">
        <v>20</v>
      </c>
    </row>
    <row r="76" spans="1:5" ht="16" x14ac:dyDescent="0.2">
      <c r="A76" s="4" t="s">
        <v>114</v>
      </c>
      <c r="B76" s="4">
        <v>0</v>
      </c>
      <c r="C76" s="6">
        <v>115.537862</v>
      </c>
      <c r="D76" s="4">
        <v>10</v>
      </c>
      <c r="E76" s="4">
        <v>14</v>
      </c>
    </row>
    <row r="77" spans="1:5" ht="16" x14ac:dyDescent="0.2">
      <c r="A77" s="4" t="s">
        <v>115</v>
      </c>
      <c r="B77" s="4">
        <v>1</v>
      </c>
      <c r="C77" s="6">
        <v>110.875</v>
      </c>
      <c r="D77" s="4">
        <v>4</v>
      </c>
      <c r="E77" s="4">
        <v>18</v>
      </c>
    </row>
    <row r="78" spans="1:5" ht="16" x14ac:dyDescent="0.2">
      <c r="A78" s="4" t="s">
        <v>116</v>
      </c>
      <c r="B78" s="4">
        <v>55</v>
      </c>
      <c r="C78" s="6">
        <v>4403.6620059999996</v>
      </c>
      <c r="D78" s="4">
        <v>224</v>
      </c>
      <c r="E78" s="4">
        <v>29</v>
      </c>
    </row>
    <row r="79" spans="1:5" ht="16" x14ac:dyDescent="0.2">
      <c r="A79" s="4" t="s">
        <v>117</v>
      </c>
      <c r="B79" s="4">
        <v>2</v>
      </c>
      <c r="C79" s="6">
        <v>108</v>
      </c>
      <c r="D79" s="4">
        <v>57</v>
      </c>
      <c r="E79" s="4">
        <v>23</v>
      </c>
    </row>
    <row r="80" spans="1:5" ht="16" x14ac:dyDescent="0.2">
      <c r="A80" s="4" t="s">
        <v>118</v>
      </c>
      <c r="B80" s="4">
        <v>0</v>
      </c>
      <c r="C80" s="6">
        <v>317.51553100000001</v>
      </c>
      <c r="D80" s="4">
        <v>29</v>
      </c>
      <c r="E80" s="4">
        <v>22</v>
      </c>
    </row>
    <row r="81" spans="1:5" ht="16" x14ac:dyDescent="0.2">
      <c r="A81" s="4" t="s">
        <v>119</v>
      </c>
      <c r="B81" s="4">
        <v>0</v>
      </c>
      <c r="C81" s="6">
        <v>211.393081</v>
      </c>
      <c r="D81" s="4">
        <v>8</v>
      </c>
      <c r="E81" s="4">
        <v>25</v>
      </c>
    </row>
    <row r="82" spans="1:5" ht="16" x14ac:dyDescent="0.2">
      <c r="A82" s="4" t="s">
        <v>120</v>
      </c>
      <c r="B82" s="4">
        <v>11</v>
      </c>
      <c r="C82" s="6">
        <v>661</v>
      </c>
      <c r="D82" s="4">
        <v>28</v>
      </c>
      <c r="E82" s="4">
        <v>15</v>
      </c>
    </row>
    <row r="83" spans="1:5" ht="16" x14ac:dyDescent="0.2">
      <c r="A83" s="4" t="s">
        <v>121</v>
      </c>
      <c r="B83" s="4">
        <v>3</v>
      </c>
      <c r="C83" s="6">
        <v>161.336207</v>
      </c>
      <c r="D83" s="4">
        <v>23</v>
      </c>
      <c r="E83" s="4">
        <v>21</v>
      </c>
    </row>
    <row r="84" spans="1:5" ht="16" x14ac:dyDescent="0.2">
      <c r="A84" s="4" t="s">
        <v>122</v>
      </c>
      <c r="B84" s="4">
        <v>0</v>
      </c>
      <c r="C84" s="6">
        <v>166.37</v>
      </c>
      <c r="D84" s="4">
        <v>12</v>
      </c>
      <c r="E84" s="4">
        <v>11</v>
      </c>
    </row>
    <row r="85" spans="1:5" ht="16" x14ac:dyDescent="0.2">
      <c r="A85" s="4" t="s">
        <v>123</v>
      </c>
      <c r="B85" s="4">
        <v>14</v>
      </c>
      <c r="C85" s="6">
        <v>483.79800899999998</v>
      </c>
      <c r="D85" s="4">
        <v>52</v>
      </c>
      <c r="E85" s="4">
        <v>25</v>
      </c>
    </row>
    <row r="86" spans="1:5" ht="16" x14ac:dyDescent="0.2">
      <c r="A86" s="4" t="s">
        <v>124</v>
      </c>
      <c r="B86" s="4">
        <v>2</v>
      </c>
      <c r="C86" s="6">
        <v>350.29899999999998</v>
      </c>
      <c r="D86" s="4">
        <v>33</v>
      </c>
      <c r="E86" s="4">
        <v>29</v>
      </c>
    </row>
    <row r="87" spans="1:5" ht="16" x14ac:dyDescent="0.2">
      <c r="A87" s="4" t="s">
        <v>125</v>
      </c>
      <c r="B87" s="4">
        <v>0</v>
      </c>
      <c r="C87" s="6">
        <v>211.77818400000001</v>
      </c>
      <c r="D87" s="4">
        <v>11</v>
      </c>
      <c r="E87" s="4">
        <v>21</v>
      </c>
    </row>
    <row r="88" spans="1:5" ht="16" x14ac:dyDescent="0.2">
      <c r="A88" s="4" t="s">
        <v>126</v>
      </c>
      <c r="B88" s="4">
        <v>1</v>
      </c>
      <c r="C88" s="6">
        <v>84.49</v>
      </c>
      <c r="D88" s="4">
        <v>5</v>
      </c>
      <c r="E88" s="4">
        <v>12</v>
      </c>
    </row>
    <row r="89" spans="1:5" ht="16" x14ac:dyDescent="0.2">
      <c r="A89" s="4" t="s">
        <v>127</v>
      </c>
      <c r="B89" s="4">
        <v>0</v>
      </c>
      <c r="C89" s="6">
        <v>81.532162999999997</v>
      </c>
      <c r="D89" s="4">
        <v>2</v>
      </c>
      <c r="E89" s="4">
        <v>22</v>
      </c>
    </row>
    <row r="90" spans="1:5" ht="16" x14ac:dyDescent="0.2">
      <c r="A90" s="4" t="s">
        <v>128</v>
      </c>
      <c r="B90" s="4">
        <v>11</v>
      </c>
      <c r="C90" s="6">
        <v>830.779</v>
      </c>
      <c r="D90" s="4">
        <v>55</v>
      </c>
      <c r="E90" s="4">
        <v>27</v>
      </c>
    </row>
    <row r="91" spans="1:5" ht="16" x14ac:dyDescent="0.2">
      <c r="A91" s="4" t="s">
        <v>129</v>
      </c>
      <c r="B91" s="4">
        <v>0</v>
      </c>
      <c r="C91" s="6">
        <v>293.56400000000002</v>
      </c>
      <c r="D91" s="4">
        <v>24</v>
      </c>
      <c r="E91" s="4">
        <v>33</v>
      </c>
    </row>
    <row r="92" spans="1:5" ht="16" x14ac:dyDescent="0.2">
      <c r="A92" s="4" t="s">
        <v>130</v>
      </c>
      <c r="B92" s="4">
        <v>2</v>
      </c>
      <c r="C92" s="6">
        <v>197.797</v>
      </c>
      <c r="D92" s="4">
        <v>4</v>
      </c>
      <c r="E92" s="4">
        <v>14</v>
      </c>
    </row>
    <row r="93" spans="1:5" ht="16" x14ac:dyDescent="0.2">
      <c r="A93" s="4" t="s">
        <v>131</v>
      </c>
      <c r="B93" s="4">
        <v>8</v>
      </c>
      <c r="C93" s="6">
        <v>242.96600000000001</v>
      </c>
      <c r="D93" s="4">
        <v>15</v>
      </c>
      <c r="E93" s="4">
        <v>24</v>
      </c>
    </row>
    <row r="94" spans="1:5" ht="16" x14ac:dyDescent="0.2">
      <c r="A94" s="4" t="s">
        <v>132</v>
      </c>
      <c r="B94" s="4">
        <v>3</v>
      </c>
      <c r="C94" s="6">
        <v>164.12299999999999</v>
      </c>
      <c r="D94" s="4">
        <v>6</v>
      </c>
      <c r="E94" s="4">
        <v>12</v>
      </c>
    </row>
    <row r="95" spans="1:5" ht="16" x14ac:dyDescent="0.2">
      <c r="A95" s="4" t="s">
        <v>133</v>
      </c>
      <c r="B95" s="4">
        <v>0</v>
      </c>
      <c r="C95" s="6">
        <v>43.213023999999997</v>
      </c>
      <c r="D95" s="4">
        <v>7</v>
      </c>
      <c r="E95" s="4">
        <v>8</v>
      </c>
    </row>
    <row r="96" spans="1:5" ht="16" x14ac:dyDescent="0.2">
      <c r="A96" s="4" t="s">
        <v>134</v>
      </c>
      <c r="B96" s="4">
        <v>2</v>
      </c>
      <c r="C96" s="6">
        <v>377.41800000000001</v>
      </c>
      <c r="D96" s="4">
        <v>13</v>
      </c>
      <c r="E96" s="4">
        <v>19</v>
      </c>
    </row>
    <row r="97" spans="1:5" ht="16" x14ac:dyDescent="0.2">
      <c r="A97" s="4" t="s">
        <v>135</v>
      </c>
      <c r="B97" s="4">
        <v>0</v>
      </c>
      <c r="C97" s="6">
        <v>66.801421000000005</v>
      </c>
      <c r="D97" s="4">
        <v>9</v>
      </c>
      <c r="E97" s="4">
        <v>14</v>
      </c>
    </row>
    <row r="98" spans="1:5" ht="16" x14ac:dyDescent="0.2">
      <c r="A98" s="4" t="s">
        <v>136</v>
      </c>
      <c r="B98" s="4">
        <v>3</v>
      </c>
      <c r="C98" s="6">
        <v>346.36926899999997</v>
      </c>
      <c r="D98" s="4">
        <v>23</v>
      </c>
      <c r="E98" s="4">
        <v>21</v>
      </c>
    </row>
    <row r="99" spans="1:5" ht="16" x14ac:dyDescent="0.2">
      <c r="A99" s="4" t="s">
        <v>137</v>
      </c>
      <c r="B99" s="4">
        <v>2</v>
      </c>
      <c r="C99" s="6">
        <v>435.24700000000001</v>
      </c>
      <c r="D99" s="4">
        <v>25</v>
      </c>
      <c r="E99" s="4">
        <v>14</v>
      </c>
    </row>
    <row r="100" spans="1:5" ht="16" x14ac:dyDescent="0.2">
      <c r="A100" s="4" t="s">
        <v>138</v>
      </c>
      <c r="B100" s="4">
        <v>0</v>
      </c>
      <c r="C100" s="6">
        <v>325.3</v>
      </c>
      <c r="D100" s="4">
        <v>4</v>
      </c>
      <c r="E100" s="4">
        <v>19</v>
      </c>
    </row>
    <row r="101" spans="1:5" ht="16" x14ac:dyDescent="0.2">
      <c r="A101" s="4" t="s">
        <v>139</v>
      </c>
      <c r="B101" s="4">
        <v>13</v>
      </c>
      <c r="C101" s="6">
        <v>875.75350700000001</v>
      </c>
      <c r="D101" s="4">
        <v>75</v>
      </c>
      <c r="E101" s="4">
        <v>26</v>
      </c>
    </row>
    <row r="102" spans="1:5" ht="16" x14ac:dyDescent="0.2">
      <c r="A102" s="4" t="s">
        <v>140</v>
      </c>
      <c r="B102" s="4">
        <v>1</v>
      </c>
      <c r="C102" s="6">
        <v>583.524</v>
      </c>
      <c r="D102" s="4">
        <v>37</v>
      </c>
      <c r="E102" s="4">
        <v>51</v>
      </c>
    </row>
    <row r="103" spans="1:5" ht="16" x14ac:dyDescent="0.2">
      <c r="A103" s="4" t="s">
        <v>141</v>
      </c>
      <c r="B103" s="4">
        <v>3</v>
      </c>
      <c r="C103" s="6">
        <v>54.709000000000003</v>
      </c>
      <c r="D103" s="4">
        <v>6</v>
      </c>
      <c r="E103" s="4">
        <v>16</v>
      </c>
    </row>
    <row r="104" spans="1:5" ht="16" x14ac:dyDescent="0.2">
      <c r="A104" s="4" t="s">
        <v>142</v>
      </c>
      <c r="B104" s="4">
        <v>6</v>
      </c>
      <c r="C104" s="6">
        <v>354.76359300000001</v>
      </c>
      <c r="D104" s="4">
        <v>20</v>
      </c>
      <c r="E104" s="4">
        <v>21</v>
      </c>
    </row>
    <row r="105" spans="1:5" ht="16" x14ac:dyDescent="0.2">
      <c r="A105" s="4" t="s">
        <v>143</v>
      </c>
      <c r="B105" s="4">
        <v>3</v>
      </c>
      <c r="C105" s="6">
        <v>342.64817199999999</v>
      </c>
      <c r="D105" s="4">
        <v>13</v>
      </c>
      <c r="E105" s="4">
        <v>16</v>
      </c>
    </row>
    <row r="106" spans="1:5" ht="16" x14ac:dyDescent="0.2">
      <c r="A106" s="4" t="s">
        <v>144</v>
      </c>
      <c r="B106" s="4">
        <v>0</v>
      </c>
      <c r="C106" s="6">
        <v>98.820785999999998</v>
      </c>
      <c r="D106" s="4">
        <v>5</v>
      </c>
      <c r="E106" s="4">
        <v>11</v>
      </c>
    </row>
    <row r="107" spans="1:5" ht="16" x14ac:dyDescent="0.2">
      <c r="A107" s="4" t="s">
        <v>145</v>
      </c>
      <c r="B107" s="4">
        <v>6</v>
      </c>
      <c r="C107" s="6">
        <v>197.62850599999999</v>
      </c>
      <c r="D107" s="4">
        <v>11</v>
      </c>
      <c r="E107" s="4">
        <v>13</v>
      </c>
    </row>
    <row r="108" spans="1:5" ht="16" x14ac:dyDescent="0.2">
      <c r="A108" s="4" t="s">
        <v>146</v>
      </c>
      <c r="B108" s="4">
        <v>2</v>
      </c>
      <c r="C108" s="6">
        <v>33.125843000000003</v>
      </c>
      <c r="D108" s="4">
        <v>2</v>
      </c>
      <c r="E108" s="4">
        <v>6</v>
      </c>
    </row>
    <row r="109" spans="1:5" ht="16" x14ac:dyDescent="0.2">
      <c r="A109" s="4" t="s">
        <v>147</v>
      </c>
      <c r="B109" s="4">
        <v>5</v>
      </c>
      <c r="C109" s="6">
        <v>619.60002399999996</v>
      </c>
      <c r="D109" s="4">
        <v>17</v>
      </c>
      <c r="E109" s="4">
        <v>23</v>
      </c>
    </row>
    <row r="110" spans="1:5" ht="16" x14ac:dyDescent="0.2">
      <c r="A110" s="4" t="s">
        <v>148</v>
      </c>
      <c r="B110" s="4">
        <v>3</v>
      </c>
      <c r="C110" s="6">
        <v>29.808055</v>
      </c>
      <c r="D110" s="4">
        <v>6</v>
      </c>
      <c r="E110" s="4">
        <v>15</v>
      </c>
    </row>
    <row r="111" spans="1:5" ht="16" x14ac:dyDescent="0.2">
      <c r="A111" s="4" t="s">
        <v>149</v>
      </c>
      <c r="B111" s="4">
        <v>0</v>
      </c>
      <c r="C111" s="6">
        <v>31.895377</v>
      </c>
      <c r="D111" s="4">
        <v>2</v>
      </c>
      <c r="E111" s="4">
        <v>9</v>
      </c>
    </row>
    <row r="112" spans="1:5" ht="16" x14ac:dyDescent="0.2">
      <c r="A112" s="4" t="s">
        <v>150</v>
      </c>
      <c r="B112" s="4">
        <v>0</v>
      </c>
      <c r="C112" s="6">
        <v>103.3</v>
      </c>
      <c r="D112" s="4">
        <v>4</v>
      </c>
      <c r="E112" s="4">
        <v>9</v>
      </c>
    </row>
    <row r="113" spans="1:5" ht="16" x14ac:dyDescent="0.2">
      <c r="A113" s="4" t="s">
        <v>151</v>
      </c>
      <c r="B113" s="4">
        <v>1</v>
      </c>
      <c r="C113" s="6">
        <v>158.96377000000001</v>
      </c>
      <c r="D113" s="4">
        <v>18</v>
      </c>
      <c r="E113" s="4">
        <v>24</v>
      </c>
    </row>
    <row r="114" spans="1:5" ht="16" x14ac:dyDescent="0.2">
      <c r="A114" s="4" t="s">
        <v>152</v>
      </c>
      <c r="B114" s="4">
        <v>0</v>
      </c>
      <c r="C114" s="6">
        <v>101.342337</v>
      </c>
      <c r="D114" s="4">
        <v>4</v>
      </c>
      <c r="E114" s="4">
        <v>16</v>
      </c>
    </row>
    <row r="115" spans="1:5" ht="16" x14ac:dyDescent="0.2">
      <c r="A115" s="4" t="s">
        <v>153</v>
      </c>
      <c r="B115" s="4">
        <v>2</v>
      </c>
      <c r="C115" s="6">
        <v>667.35465999999997</v>
      </c>
      <c r="D115" s="4">
        <v>44</v>
      </c>
      <c r="E115" s="4">
        <v>22</v>
      </c>
    </row>
    <row r="116" spans="1:5" ht="16" x14ac:dyDescent="0.2">
      <c r="A116" s="4" t="s">
        <v>154</v>
      </c>
      <c r="B116" s="4">
        <v>3</v>
      </c>
      <c r="C116" s="6">
        <v>641.62599999999998</v>
      </c>
      <c r="D116" s="4">
        <v>36</v>
      </c>
      <c r="E116" s="4">
        <v>16</v>
      </c>
    </row>
    <row r="117" spans="1:5" ht="16" x14ac:dyDescent="0.2">
      <c r="A117" s="4" t="s">
        <v>155</v>
      </c>
      <c r="B117" s="4">
        <v>6</v>
      </c>
      <c r="C117" s="6">
        <v>361.602172</v>
      </c>
      <c r="D117" s="4">
        <v>25</v>
      </c>
      <c r="E117" s="4">
        <v>28</v>
      </c>
    </row>
    <row r="118" spans="1:5" ht="16" x14ac:dyDescent="0.2">
      <c r="A118" s="4" t="s">
        <v>156</v>
      </c>
      <c r="B118" s="4">
        <v>0</v>
      </c>
      <c r="C118" s="6">
        <v>28.079274000000002</v>
      </c>
      <c r="D118" s="4">
        <v>2</v>
      </c>
      <c r="E118" s="4">
        <v>13</v>
      </c>
    </row>
    <row r="119" spans="1:5" ht="16" x14ac:dyDescent="0.2">
      <c r="A119" s="4" t="s">
        <v>157</v>
      </c>
      <c r="B119" s="4">
        <v>5</v>
      </c>
      <c r="C119" s="6">
        <v>185.19790699999999</v>
      </c>
      <c r="D119" s="4">
        <v>5</v>
      </c>
      <c r="E119" s="4">
        <v>15</v>
      </c>
    </row>
    <row r="120" spans="1:5" ht="16" x14ac:dyDescent="0.2">
      <c r="A120" s="4" t="s">
        <v>158</v>
      </c>
      <c r="B120" s="4">
        <v>0</v>
      </c>
      <c r="C120" s="6">
        <v>22.742000000000001</v>
      </c>
      <c r="D120" s="4">
        <v>0</v>
      </c>
      <c r="E120" s="4">
        <v>2</v>
      </c>
    </row>
    <row r="121" spans="1:5" ht="16" x14ac:dyDescent="0.2">
      <c r="A121" s="4" t="s">
        <v>159</v>
      </c>
      <c r="B121" s="4">
        <v>5</v>
      </c>
      <c r="C121" s="6">
        <v>298.5</v>
      </c>
      <c r="D121" s="4">
        <v>31</v>
      </c>
      <c r="E121" s="4">
        <v>18</v>
      </c>
    </row>
    <row r="122" spans="1:5" ht="16" x14ac:dyDescent="0.2">
      <c r="A122" s="4" t="s">
        <v>160</v>
      </c>
      <c r="B122" s="4">
        <v>5</v>
      </c>
      <c r="C122" s="6">
        <v>484.6</v>
      </c>
      <c r="D122" s="4">
        <v>41</v>
      </c>
      <c r="E122" s="4">
        <v>37</v>
      </c>
    </row>
    <row r="123" spans="1:5" ht="16" x14ac:dyDescent="0.2">
      <c r="A123" s="4" t="s">
        <v>161</v>
      </c>
      <c r="B123" s="4">
        <v>2</v>
      </c>
      <c r="C123" s="6">
        <v>246.39706799999999</v>
      </c>
      <c r="D123" s="4">
        <v>15</v>
      </c>
      <c r="E123" s="4">
        <v>25</v>
      </c>
    </row>
    <row r="124" spans="1:5" ht="16" x14ac:dyDescent="0.2">
      <c r="A124" s="4" t="s">
        <v>162</v>
      </c>
      <c r="B124" s="4">
        <v>10</v>
      </c>
      <c r="C124" s="6">
        <v>527.14132199999995</v>
      </c>
      <c r="D124" s="4">
        <v>25</v>
      </c>
      <c r="E124" s="4">
        <v>17</v>
      </c>
    </row>
    <row r="125" spans="1:5" ht="16" x14ac:dyDescent="0.2">
      <c r="A125" s="4" t="s">
        <v>163</v>
      </c>
      <c r="B125" s="4">
        <v>2</v>
      </c>
      <c r="C125" s="6">
        <v>197.25174799999999</v>
      </c>
      <c r="D125" s="4">
        <v>3</v>
      </c>
      <c r="E125" s="4">
        <v>23</v>
      </c>
    </row>
    <row r="126" spans="1:5" ht="16" x14ac:dyDescent="0.2">
      <c r="A126" s="4" t="s">
        <v>164</v>
      </c>
      <c r="B126" s="4">
        <v>0</v>
      </c>
      <c r="C126" s="6">
        <v>201.32300000000001</v>
      </c>
      <c r="D126" s="4">
        <v>6</v>
      </c>
      <c r="E126" s="4">
        <v>18</v>
      </c>
    </row>
    <row r="127" spans="1:5" ht="16" x14ac:dyDescent="0.2">
      <c r="A127" s="4" t="s">
        <v>165</v>
      </c>
      <c r="B127" s="4">
        <v>2</v>
      </c>
      <c r="C127" s="6">
        <v>153.46128400000001</v>
      </c>
      <c r="D127" s="4">
        <v>10</v>
      </c>
      <c r="E127" s="4">
        <v>20</v>
      </c>
    </row>
    <row r="128" spans="1:5" ht="16" x14ac:dyDescent="0.2">
      <c r="A128" s="4" t="s">
        <v>166</v>
      </c>
      <c r="B128" s="4">
        <v>2</v>
      </c>
      <c r="C128" s="6">
        <v>377.16960899999998</v>
      </c>
      <c r="D128" s="4">
        <v>15</v>
      </c>
      <c r="E128" s="4">
        <v>18</v>
      </c>
    </row>
    <row r="129" spans="1:5" ht="16" x14ac:dyDescent="0.2">
      <c r="A129" s="4" t="s">
        <v>167</v>
      </c>
      <c r="B129" s="4">
        <v>2</v>
      </c>
      <c r="C129" s="6">
        <v>66.610534999999999</v>
      </c>
      <c r="D129" s="4">
        <v>8</v>
      </c>
      <c r="E129" s="4">
        <v>9</v>
      </c>
    </row>
    <row r="130" spans="1:5" ht="16" x14ac:dyDescent="0.2">
      <c r="A130" s="4" t="s">
        <v>168</v>
      </c>
      <c r="B130" s="4">
        <v>3</v>
      </c>
      <c r="C130" s="6">
        <v>59.582999999999998</v>
      </c>
      <c r="D130" s="4">
        <v>5</v>
      </c>
      <c r="E130" s="4">
        <v>14</v>
      </c>
    </row>
    <row r="131" spans="1:5" ht="16" x14ac:dyDescent="0.2">
      <c r="A131" s="4" t="s">
        <v>169</v>
      </c>
      <c r="B131" s="4">
        <v>20</v>
      </c>
      <c r="C131" s="6">
        <v>273.005853</v>
      </c>
      <c r="D131" s="4">
        <v>33</v>
      </c>
      <c r="E131" s="4">
        <v>40</v>
      </c>
    </row>
    <row r="132" spans="1:5" ht="16" x14ac:dyDescent="0.2">
      <c r="A132" s="4" t="s">
        <v>170</v>
      </c>
      <c r="B132" s="4">
        <v>5</v>
      </c>
      <c r="C132" s="6">
        <v>90.642167000000001</v>
      </c>
      <c r="D132" s="4">
        <v>5</v>
      </c>
      <c r="E132" s="4">
        <v>10</v>
      </c>
    </row>
    <row r="133" spans="1:5" ht="16" x14ac:dyDescent="0.2">
      <c r="A133" s="4" t="s">
        <v>171</v>
      </c>
      <c r="B133" s="4">
        <v>2</v>
      </c>
      <c r="C133" s="6">
        <v>257.65100000000001</v>
      </c>
      <c r="D133" s="4">
        <v>12</v>
      </c>
      <c r="E133" s="4">
        <v>31</v>
      </c>
    </row>
    <row r="134" spans="1:5" ht="16" x14ac:dyDescent="0.2">
      <c r="A134" s="4" t="s">
        <v>172</v>
      </c>
      <c r="B134" s="4">
        <v>9</v>
      </c>
      <c r="C134" s="6">
        <v>1026.788452</v>
      </c>
      <c r="D134" s="4">
        <v>56</v>
      </c>
      <c r="E134" s="4">
        <v>25</v>
      </c>
    </row>
    <row r="135" spans="1:5" ht="16" x14ac:dyDescent="0.2">
      <c r="A135" s="4" t="s">
        <v>173</v>
      </c>
      <c r="B135" s="4">
        <v>0</v>
      </c>
      <c r="C135" s="6">
        <v>14.473022</v>
      </c>
      <c r="D135" s="4">
        <v>0</v>
      </c>
      <c r="E135" s="4">
        <v>1</v>
      </c>
    </row>
    <row r="136" spans="1:5" ht="16" x14ac:dyDescent="0.2">
      <c r="A136" s="4" t="s">
        <v>174</v>
      </c>
      <c r="B136" s="4">
        <v>0</v>
      </c>
      <c r="C136" s="6">
        <v>148.25700000000001</v>
      </c>
      <c r="D136" s="4">
        <v>6</v>
      </c>
      <c r="E136" s="4">
        <v>21</v>
      </c>
    </row>
    <row r="137" spans="1:5" ht="16" x14ac:dyDescent="0.2">
      <c r="A137" s="4" t="s">
        <v>175</v>
      </c>
      <c r="B137" s="4">
        <v>4</v>
      </c>
      <c r="C137" s="6">
        <v>444.33246200000002</v>
      </c>
      <c r="D137" s="4">
        <v>16</v>
      </c>
      <c r="E137" s="4">
        <v>18</v>
      </c>
    </row>
    <row r="138" spans="1:5" ht="16" x14ac:dyDescent="0.2">
      <c r="A138" s="4" t="s">
        <v>176</v>
      </c>
      <c r="B138" s="4">
        <v>3</v>
      </c>
      <c r="C138" s="6">
        <v>148.655</v>
      </c>
      <c r="D138" s="4">
        <v>6</v>
      </c>
      <c r="E138" s="4">
        <v>14</v>
      </c>
    </row>
    <row r="139" spans="1:5" ht="16" x14ac:dyDescent="0.2">
      <c r="A139" s="4" t="s">
        <v>177</v>
      </c>
      <c r="B139" s="4">
        <v>3</v>
      </c>
      <c r="C139" s="6">
        <v>199.63589300000001</v>
      </c>
      <c r="D139" s="4">
        <v>23</v>
      </c>
      <c r="E139" s="4">
        <v>23</v>
      </c>
    </row>
    <row r="140" spans="1:5" ht="16" x14ac:dyDescent="0.2">
      <c r="A140" s="4" t="s">
        <v>178</v>
      </c>
      <c r="B140" s="4">
        <v>6</v>
      </c>
      <c r="C140" s="6">
        <v>942</v>
      </c>
      <c r="D140" s="4">
        <v>98</v>
      </c>
      <c r="E140" s="4">
        <v>83</v>
      </c>
    </row>
    <row r="141" spans="1:5" ht="16" x14ac:dyDescent="0.2">
      <c r="A141" s="4" t="s">
        <v>179</v>
      </c>
      <c r="B141" s="4">
        <v>2</v>
      </c>
      <c r="C141" s="6">
        <v>148.68637699999999</v>
      </c>
      <c r="D141" s="4">
        <v>10</v>
      </c>
      <c r="E141" s="4">
        <v>23</v>
      </c>
    </row>
    <row r="142" spans="1:5" ht="16" x14ac:dyDescent="0.2">
      <c r="A142" s="4" t="s">
        <v>180</v>
      </c>
      <c r="B142" s="4">
        <v>2</v>
      </c>
      <c r="C142" s="6">
        <v>140.86217400000001</v>
      </c>
      <c r="D142" s="4">
        <v>6</v>
      </c>
      <c r="E142" s="4">
        <v>69</v>
      </c>
    </row>
    <row r="143" spans="1:5" ht="16" x14ac:dyDescent="0.2">
      <c r="A143" s="4" t="s">
        <v>181</v>
      </c>
      <c r="B143" s="4">
        <v>1</v>
      </c>
      <c r="C143" s="6">
        <v>249.21</v>
      </c>
      <c r="D143" s="4">
        <v>7</v>
      </c>
      <c r="E143" s="4">
        <v>20</v>
      </c>
    </row>
    <row r="144" spans="1:5" ht="16" x14ac:dyDescent="0.2">
      <c r="A144" s="7" t="s">
        <v>182</v>
      </c>
      <c r="B144" s="7">
        <v>1</v>
      </c>
      <c r="C144" s="8">
        <v>154.38200000000001</v>
      </c>
      <c r="D144" s="7">
        <v>3</v>
      </c>
      <c r="E144" s="7">
        <v>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>
      <selection activeCell="H13" sqref="H13"/>
    </sheetView>
  </sheetViews>
  <sheetFormatPr baseColWidth="10" defaultColWidth="8.83203125" defaultRowHeight="15" x14ac:dyDescent="0.2"/>
  <sheetData>
    <row r="1" spans="1:2" x14ac:dyDescent="0.2">
      <c r="A1" t="s">
        <v>200</v>
      </c>
      <c r="B1" t="s">
        <v>201</v>
      </c>
    </row>
    <row r="2" spans="1:2" x14ac:dyDescent="0.2">
      <c r="A2" s="10" t="s">
        <v>202</v>
      </c>
      <c r="B2">
        <v>71</v>
      </c>
    </row>
    <row r="3" spans="1:2" x14ac:dyDescent="0.2">
      <c r="A3" s="10" t="s">
        <v>203</v>
      </c>
      <c r="B3">
        <v>73</v>
      </c>
    </row>
    <row r="4" spans="1:2" x14ac:dyDescent="0.2">
      <c r="A4" s="10" t="s">
        <v>204</v>
      </c>
      <c r="B4">
        <v>76</v>
      </c>
    </row>
    <row r="5" spans="1:2" x14ac:dyDescent="0.2">
      <c r="A5" s="10" t="s">
        <v>205</v>
      </c>
      <c r="B5">
        <v>78</v>
      </c>
    </row>
    <row r="6" spans="1:2" x14ac:dyDescent="0.2">
      <c r="A6" s="10" t="s">
        <v>206</v>
      </c>
      <c r="B6">
        <v>81</v>
      </c>
    </row>
    <row r="7" spans="1:2" x14ac:dyDescent="0.2">
      <c r="A7" s="10" t="s">
        <v>207</v>
      </c>
      <c r="B7">
        <v>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6"/>
  <sheetViews>
    <sheetView workbookViewId="0">
      <selection sqref="A1:A1048576"/>
    </sheetView>
  </sheetViews>
  <sheetFormatPr baseColWidth="10" defaultColWidth="8.83203125" defaultRowHeight="15" x14ac:dyDescent="0.2"/>
  <cols>
    <col min="1" max="1" width="9.1640625" style="1"/>
  </cols>
  <sheetData>
    <row r="1" spans="1:1" x14ac:dyDescent="0.2">
      <c r="A1" s="1" t="s">
        <v>0</v>
      </c>
    </row>
    <row r="2" spans="1:1" x14ac:dyDescent="0.2">
      <c r="A2" s="1">
        <v>25</v>
      </c>
    </row>
    <row r="3" spans="1:1" x14ac:dyDescent="0.2">
      <c r="A3" s="1">
        <v>19</v>
      </c>
    </row>
    <row r="4" spans="1:1" x14ac:dyDescent="0.2">
      <c r="A4" s="1">
        <v>26</v>
      </c>
    </row>
    <row r="5" spans="1:1" x14ac:dyDescent="0.2">
      <c r="A5" s="1">
        <v>11</v>
      </c>
    </row>
    <row r="6" spans="1:1" x14ac:dyDescent="0.2">
      <c r="A6" s="1">
        <v>29</v>
      </c>
    </row>
    <row r="7" spans="1:1" x14ac:dyDescent="0.2">
      <c r="A7" s="1">
        <v>17</v>
      </c>
    </row>
    <row r="8" spans="1:1" x14ac:dyDescent="0.2">
      <c r="A8" s="1">
        <v>16</v>
      </c>
    </row>
    <row r="9" spans="1:1" x14ac:dyDescent="0.2">
      <c r="A9" s="1">
        <v>14</v>
      </c>
    </row>
    <row r="10" spans="1:1" x14ac:dyDescent="0.2">
      <c r="A10" s="1">
        <v>21</v>
      </c>
    </row>
    <row r="11" spans="1:1" x14ac:dyDescent="0.2">
      <c r="A11" s="1">
        <v>10</v>
      </c>
    </row>
    <row r="12" spans="1:1" x14ac:dyDescent="0.2">
      <c r="A12" s="1">
        <v>8</v>
      </c>
    </row>
    <row r="13" spans="1:1" x14ac:dyDescent="0.2">
      <c r="A13" s="1">
        <v>9</v>
      </c>
    </row>
    <row r="14" spans="1:1" x14ac:dyDescent="0.2">
      <c r="A14" s="1">
        <v>22</v>
      </c>
    </row>
    <row r="15" spans="1:1" x14ac:dyDescent="0.2">
      <c r="A15" s="1">
        <v>6</v>
      </c>
    </row>
    <row r="16" spans="1:1" x14ac:dyDescent="0.2">
      <c r="A16" s="1">
        <v>10</v>
      </c>
    </row>
    <row r="17" spans="1:1" x14ac:dyDescent="0.2">
      <c r="A17" s="1">
        <v>14</v>
      </c>
    </row>
    <row r="18" spans="1:1" x14ac:dyDescent="0.2">
      <c r="A18" s="1">
        <v>15</v>
      </c>
    </row>
    <row r="19" spans="1:1" x14ac:dyDescent="0.2">
      <c r="A19" s="1">
        <v>17</v>
      </c>
    </row>
    <row r="20" spans="1:1" x14ac:dyDescent="0.2">
      <c r="A20" s="1">
        <v>20</v>
      </c>
    </row>
    <row r="21" spans="1:1" x14ac:dyDescent="0.2">
      <c r="A21" s="1">
        <v>4</v>
      </c>
    </row>
    <row r="22" spans="1:1" x14ac:dyDescent="0.2">
      <c r="A22" s="1">
        <v>17</v>
      </c>
    </row>
    <row r="23" spans="1:1" x14ac:dyDescent="0.2">
      <c r="A23" s="1">
        <v>12</v>
      </c>
    </row>
    <row r="24" spans="1:1" x14ac:dyDescent="0.2">
      <c r="A24" s="1">
        <v>14</v>
      </c>
    </row>
    <row r="25" spans="1:1" x14ac:dyDescent="0.2">
      <c r="A25" s="1">
        <v>27</v>
      </c>
    </row>
    <row r="26" spans="1:1" x14ac:dyDescent="0.2">
      <c r="A26" s="1">
        <v>25</v>
      </c>
    </row>
    <row r="27" spans="1:1" x14ac:dyDescent="0.2">
      <c r="A27" s="1">
        <v>7</v>
      </c>
    </row>
    <row r="28" spans="1:1" x14ac:dyDescent="0.2">
      <c r="A28" s="1">
        <v>17</v>
      </c>
    </row>
    <row r="29" spans="1:1" x14ac:dyDescent="0.2">
      <c r="A29" s="1">
        <v>35</v>
      </c>
    </row>
    <row r="30" spans="1:1" x14ac:dyDescent="0.2">
      <c r="A30" s="1">
        <v>17</v>
      </c>
    </row>
    <row r="31" spans="1:1" x14ac:dyDescent="0.2">
      <c r="A31" s="1">
        <v>13</v>
      </c>
    </row>
    <row r="32" spans="1:1" x14ac:dyDescent="0.2">
      <c r="A32" s="1">
        <v>11</v>
      </c>
    </row>
    <row r="33" spans="1:1" x14ac:dyDescent="0.2">
      <c r="A33" s="1">
        <v>19</v>
      </c>
    </row>
    <row r="34" spans="1:1" x14ac:dyDescent="0.2">
      <c r="A34" s="1">
        <v>24</v>
      </c>
    </row>
    <row r="35" spans="1:1" x14ac:dyDescent="0.2">
      <c r="A35" s="1">
        <v>6</v>
      </c>
    </row>
    <row r="36" spans="1:1" x14ac:dyDescent="0.2">
      <c r="A36" s="1">
        <v>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EBEB-5DF7-4626-9BF0-729454DEFBAA}">
  <dimension ref="A1:A9"/>
  <sheetViews>
    <sheetView workbookViewId="0">
      <selection activeCell="A10" sqref="A10"/>
    </sheetView>
  </sheetViews>
  <sheetFormatPr baseColWidth="10" defaultColWidth="8.83203125" defaultRowHeight="15" x14ac:dyDescent="0.2"/>
  <sheetData>
    <row r="1" spans="1:1" x14ac:dyDescent="0.2">
      <c r="A1" t="s">
        <v>208</v>
      </c>
    </row>
    <row r="2" spans="1:1" x14ac:dyDescent="0.2">
      <c r="A2">
        <v>14</v>
      </c>
    </row>
    <row r="3" spans="1:1" x14ac:dyDescent="0.2">
      <c r="A3">
        <v>7</v>
      </c>
    </row>
    <row r="4" spans="1:1" x14ac:dyDescent="0.2">
      <c r="A4">
        <v>17</v>
      </c>
    </row>
    <row r="5" spans="1:1" x14ac:dyDescent="0.2">
      <c r="A5">
        <v>20</v>
      </c>
    </row>
    <row r="6" spans="1:1" x14ac:dyDescent="0.2">
      <c r="A6">
        <v>18</v>
      </c>
    </row>
    <row r="7" spans="1:1" x14ac:dyDescent="0.2">
      <c r="A7">
        <v>15</v>
      </c>
    </row>
    <row r="8" spans="1:1" x14ac:dyDescent="0.2">
      <c r="A8">
        <v>19</v>
      </c>
    </row>
    <row r="9" spans="1:1" x14ac:dyDescent="0.2">
      <c r="A9">
        <v>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CEEC-7EAD-4B04-9816-D08F158DCCCB}">
  <dimension ref="A1:B31"/>
  <sheetViews>
    <sheetView workbookViewId="0">
      <selection activeCell="G10" sqref="G10"/>
    </sheetView>
  </sheetViews>
  <sheetFormatPr baseColWidth="10" defaultColWidth="8.83203125" defaultRowHeight="15" x14ac:dyDescent="0.2"/>
  <sheetData>
    <row r="1" spans="1:2" x14ac:dyDescent="0.2">
      <c r="A1" t="s">
        <v>16</v>
      </c>
      <c r="B1" t="s">
        <v>11</v>
      </c>
    </row>
    <row r="2" spans="1:2" x14ac:dyDescent="0.2">
      <c r="A2">
        <v>51140</v>
      </c>
      <c r="B2">
        <v>51720</v>
      </c>
    </row>
    <row r="3" spans="1:2" x14ac:dyDescent="0.2">
      <c r="A3">
        <v>53266</v>
      </c>
      <c r="B3">
        <v>44721</v>
      </c>
    </row>
    <row r="4" spans="1:2" x14ac:dyDescent="0.2">
      <c r="A4">
        <v>51640</v>
      </c>
      <c r="B4">
        <v>37428</v>
      </c>
    </row>
    <row r="5" spans="1:2" x14ac:dyDescent="0.2">
      <c r="A5">
        <v>46430</v>
      </c>
      <c r="B5">
        <v>51538</v>
      </c>
    </row>
    <row r="6" spans="1:2" x14ac:dyDescent="0.2">
      <c r="A6">
        <v>53016</v>
      </c>
      <c r="B6">
        <v>45369</v>
      </c>
    </row>
    <row r="7" spans="1:2" x14ac:dyDescent="0.2">
      <c r="A7">
        <v>51486</v>
      </c>
      <c r="B7">
        <v>42094</v>
      </c>
    </row>
    <row r="8" spans="1:2" x14ac:dyDescent="0.2">
      <c r="A8">
        <v>50527</v>
      </c>
      <c r="B8">
        <v>46485</v>
      </c>
    </row>
    <row r="9" spans="1:2" x14ac:dyDescent="0.2">
      <c r="A9">
        <v>53329</v>
      </c>
      <c r="B9">
        <v>46382</v>
      </c>
    </row>
    <row r="10" spans="1:2" x14ac:dyDescent="0.2">
      <c r="A10">
        <v>50453</v>
      </c>
      <c r="B10">
        <v>48729</v>
      </c>
    </row>
    <row r="11" spans="1:2" x14ac:dyDescent="0.2">
      <c r="A11">
        <v>50793</v>
      </c>
      <c r="B11">
        <v>39082</v>
      </c>
    </row>
    <row r="12" spans="1:2" x14ac:dyDescent="0.2">
      <c r="A12">
        <v>54128</v>
      </c>
      <c r="B12">
        <v>49598</v>
      </c>
    </row>
    <row r="13" spans="1:2" x14ac:dyDescent="0.2">
      <c r="A13">
        <v>47195</v>
      </c>
      <c r="B13">
        <v>44898</v>
      </c>
    </row>
    <row r="14" spans="1:2" x14ac:dyDescent="0.2">
      <c r="A14">
        <v>50716</v>
      </c>
      <c r="B14">
        <v>46644</v>
      </c>
    </row>
    <row r="15" spans="1:2" x14ac:dyDescent="0.2">
      <c r="A15">
        <v>48061</v>
      </c>
      <c r="B15">
        <v>48002</v>
      </c>
    </row>
    <row r="16" spans="1:2" x14ac:dyDescent="0.2">
      <c r="A16">
        <v>50396</v>
      </c>
      <c r="B16">
        <v>51977</v>
      </c>
    </row>
    <row r="17" spans="1:2" x14ac:dyDescent="0.2">
      <c r="A17">
        <v>51785</v>
      </c>
      <c r="B17">
        <v>51484</v>
      </c>
    </row>
    <row r="18" spans="1:2" x14ac:dyDescent="0.2">
      <c r="A18">
        <v>51940</v>
      </c>
      <c r="B18">
        <v>49696</v>
      </c>
    </row>
    <row r="19" spans="1:2" x14ac:dyDescent="0.2">
      <c r="A19">
        <v>52761</v>
      </c>
      <c r="B19">
        <v>47568</v>
      </c>
    </row>
    <row r="20" spans="1:2" x14ac:dyDescent="0.2">
      <c r="A20">
        <v>44403</v>
      </c>
      <c r="B20">
        <v>44429</v>
      </c>
    </row>
    <row r="21" spans="1:2" x14ac:dyDescent="0.2">
      <c r="A21">
        <v>47681</v>
      </c>
      <c r="B21">
        <v>44862</v>
      </c>
    </row>
    <row r="22" spans="1:2" x14ac:dyDescent="0.2">
      <c r="A22">
        <v>53890</v>
      </c>
      <c r="B22">
        <v>40744</v>
      </c>
    </row>
    <row r="23" spans="1:2" x14ac:dyDescent="0.2">
      <c r="A23">
        <v>48296</v>
      </c>
      <c r="B23">
        <v>50419</v>
      </c>
    </row>
    <row r="24" spans="1:2" x14ac:dyDescent="0.2">
      <c r="A24">
        <v>53179</v>
      </c>
      <c r="B24">
        <v>48397</v>
      </c>
    </row>
    <row r="25" spans="1:2" x14ac:dyDescent="0.2">
      <c r="A25">
        <v>51066</v>
      </c>
      <c r="B25">
        <v>47135</v>
      </c>
    </row>
    <row r="26" spans="1:2" x14ac:dyDescent="0.2">
      <c r="A26">
        <v>54052</v>
      </c>
      <c r="B26">
        <v>43176</v>
      </c>
    </row>
    <row r="27" spans="1:2" x14ac:dyDescent="0.2">
      <c r="A27">
        <v>49708</v>
      </c>
      <c r="B27">
        <v>44619</v>
      </c>
    </row>
    <row r="28" spans="1:2" x14ac:dyDescent="0.2">
      <c r="A28">
        <v>49947</v>
      </c>
      <c r="B28">
        <v>48468</v>
      </c>
    </row>
    <row r="29" spans="1:2" x14ac:dyDescent="0.2">
      <c r="A29">
        <v>50268</v>
      </c>
      <c r="B29">
        <v>52096</v>
      </c>
    </row>
    <row r="30" spans="1:2" x14ac:dyDescent="0.2">
      <c r="A30">
        <v>46947</v>
      </c>
      <c r="B30">
        <v>49513</v>
      </c>
    </row>
    <row r="31" spans="1:2" x14ac:dyDescent="0.2">
      <c r="A31">
        <v>52345</v>
      </c>
      <c r="B31">
        <v>41278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7481-4A34-44AB-B585-353B9ACF2D31}">
  <dimension ref="A1:B41"/>
  <sheetViews>
    <sheetView workbookViewId="0">
      <selection activeCell="C15" sqref="C15"/>
    </sheetView>
  </sheetViews>
  <sheetFormatPr baseColWidth="10" defaultColWidth="8.83203125" defaultRowHeight="15" x14ac:dyDescent="0.2"/>
  <cols>
    <col min="1" max="2" width="14.5" style="1" customWidth="1"/>
  </cols>
  <sheetData>
    <row r="1" spans="1:2" ht="16" x14ac:dyDescent="0.2">
      <c r="A1" s="12" t="s">
        <v>222</v>
      </c>
      <c r="B1" s="12" t="s">
        <v>223</v>
      </c>
    </row>
    <row r="2" spans="1:2" x14ac:dyDescent="0.2">
      <c r="A2" s="1">
        <v>32</v>
      </c>
      <c r="B2" s="1">
        <v>30</v>
      </c>
    </row>
    <row r="3" spans="1:2" x14ac:dyDescent="0.2">
      <c r="A3" s="1">
        <v>36</v>
      </c>
      <c r="B3" s="1">
        <v>32</v>
      </c>
    </row>
    <row r="4" spans="1:2" x14ac:dyDescent="0.2">
      <c r="A4" s="1">
        <v>34</v>
      </c>
      <c r="B4" s="1">
        <v>29</v>
      </c>
    </row>
    <row r="5" spans="1:2" x14ac:dyDescent="0.2">
      <c r="A5" s="1">
        <v>33</v>
      </c>
      <c r="B5" s="1">
        <v>30</v>
      </c>
    </row>
    <row r="6" spans="1:2" x14ac:dyDescent="0.2">
      <c r="A6" s="1">
        <v>36</v>
      </c>
      <c r="B6" s="1">
        <v>32</v>
      </c>
    </row>
    <row r="7" spans="1:2" x14ac:dyDescent="0.2">
      <c r="A7" s="1">
        <v>32</v>
      </c>
      <c r="B7" s="1">
        <v>29</v>
      </c>
    </row>
    <row r="8" spans="1:2" x14ac:dyDescent="0.2">
      <c r="A8" s="1">
        <v>33</v>
      </c>
      <c r="B8" s="1">
        <v>33</v>
      </c>
    </row>
    <row r="9" spans="1:2" x14ac:dyDescent="0.2">
      <c r="A9" s="1">
        <v>35</v>
      </c>
      <c r="B9" s="1">
        <v>31</v>
      </c>
    </row>
    <row r="10" spans="1:2" x14ac:dyDescent="0.2">
      <c r="A10" s="1">
        <v>34</v>
      </c>
      <c r="B10" s="1">
        <v>29</v>
      </c>
    </row>
    <row r="11" spans="1:2" x14ac:dyDescent="0.2">
      <c r="A11" s="1">
        <v>31</v>
      </c>
      <c r="B11" s="1">
        <v>29</v>
      </c>
    </row>
    <row r="12" spans="1:2" x14ac:dyDescent="0.2">
      <c r="A12" s="1">
        <v>31</v>
      </c>
      <c r="B12" s="1">
        <v>33</v>
      </c>
    </row>
    <row r="13" spans="1:2" x14ac:dyDescent="0.2">
      <c r="A13" s="1">
        <v>31</v>
      </c>
      <c r="B13" s="1">
        <v>35</v>
      </c>
    </row>
    <row r="14" spans="1:2" x14ac:dyDescent="0.2">
      <c r="A14" s="1">
        <v>36</v>
      </c>
      <c r="B14" s="1">
        <v>30</v>
      </c>
    </row>
    <row r="15" spans="1:2" x14ac:dyDescent="0.2">
      <c r="A15" s="1">
        <v>33</v>
      </c>
      <c r="B15" s="1">
        <v>35</v>
      </c>
    </row>
    <row r="16" spans="1:2" x14ac:dyDescent="0.2">
      <c r="A16" s="1">
        <v>31</v>
      </c>
      <c r="B16" s="1">
        <v>33</v>
      </c>
    </row>
    <row r="17" spans="1:2" x14ac:dyDescent="0.2">
      <c r="A17" s="1">
        <v>35</v>
      </c>
      <c r="B17" s="1">
        <v>34</v>
      </c>
    </row>
    <row r="18" spans="1:2" x14ac:dyDescent="0.2">
      <c r="A18" s="1">
        <v>30</v>
      </c>
      <c r="B18" s="1">
        <v>35</v>
      </c>
    </row>
    <row r="19" spans="1:2" x14ac:dyDescent="0.2">
      <c r="A19" s="1">
        <v>34</v>
      </c>
      <c r="B19" s="1">
        <v>34</v>
      </c>
    </row>
    <row r="20" spans="1:2" x14ac:dyDescent="0.2">
      <c r="A20" s="1">
        <v>30</v>
      </c>
      <c r="B20" s="1">
        <v>35</v>
      </c>
    </row>
    <row r="21" spans="1:2" x14ac:dyDescent="0.2">
      <c r="A21" s="1">
        <v>31</v>
      </c>
      <c r="B21" s="1">
        <v>31</v>
      </c>
    </row>
    <row r="22" spans="1:2" x14ac:dyDescent="0.2">
      <c r="A22" s="1">
        <v>31</v>
      </c>
      <c r="B22" s="1">
        <v>32</v>
      </c>
    </row>
    <row r="23" spans="1:2" x14ac:dyDescent="0.2">
      <c r="A23" s="1">
        <v>31</v>
      </c>
      <c r="B23" s="1">
        <v>33</v>
      </c>
    </row>
    <row r="24" spans="1:2" x14ac:dyDescent="0.2">
      <c r="A24" s="1">
        <v>35</v>
      </c>
      <c r="B24" s="1">
        <v>31</v>
      </c>
    </row>
    <row r="25" spans="1:2" x14ac:dyDescent="0.2">
      <c r="A25" s="1">
        <v>30</v>
      </c>
      <c r="B25" s="1">
        <v>32</v>
      </c>
    </row>
    <row r="26" spans="1:2" x14ac:dyDescent="0.2">
      <c r="A26" s="1">
        <v>31</v>
      </c>
      <c r="B26" s="1">
        <v>34</v>
      </c>
    </row>
    <row r="27" spans="1:2" x14ac:dyDescent="0.2">
      <c r="A27" s="1">
        <v>33</v>
      </c>
      <c r="B27" s="1">
        <v>34</v>
      </c>
    </row>
    <row r="28" spans="1:2" x14ac:dyDescent="0.2">
      <c r="A28" s="1">
        <v>33</v>
      </c>
      <c r="B28" s="1">
        <v>32</v>
      </c>
    </row>
    <row r="29" spans="1:2" x14ac:dyDescent="0.2">
      <c r="A29" s="1">
        <v>30</v>
      </c>
      <c r="B29" s="1">
        <v>34</v>
      </c>
    </row>
    <row r="30" spans="1:2" x14ac:dyDescent="0.2">
      <c r="A30" s="1">
        <v>34</v>
      </c>
      <c r="B30" s="1">
        <v>32</v>
      </c>
    </row>
    <row r="31" spans="1:2" x14ac:dyDescent="0.2">
      <c r="A31" s="1">
        <v>36</v>
      </c>
      <c r="B31" s="1">
        <v>32</v>
      </c>
    </row>
    <row r="32" spans="1:2" x14ac:dyDescent="0.2">
      <c r="A32" s="1">
        <v>31</v>
      </c>
      <c r="B32" s="1">
        <v>30</v>
      </c>
    </row>
    <row r="33" spans="1:2" x14ac:dyDescent="0.2">
      <c r="A33" s="1">
        <v>34</v>
      </c>
      <c r="B33" s="1">
        <v>32</v>
      </c>
    </row>
    <row r="34" spans="1:2" x14ac:dyDescent="0.2">
      <c r="A34" s="1">
        <v>32</v>
      </c>
    </row>
    <row r="35" spans="1:2" x14ac:dyDescent="0.2">
      <c r="A35" s="1">
        <v>32</v>
      </c>
    </row>
    <row r="36" spans="1:2" x14ac:dyDescent="0.2">
      <c r="A36" s="1">
        <v>32</v>
      </c>
    </row>
    <row r="37" spans="1:2" x14ac:dyDescent="0.2">
      <c r="A37" s="1">
        <v>33</v>
      </c>
    </row>
    <row r="38" spans="1:2" x14ac:dyDescent="0.2">
      <c r="A38" s="1">
        <v>35</v>
      </c>
    </row>
    <row r="39" spans="1:2" x14ac:dyDescent="0.2">
      <c r="A39" s="1">
        <v>30</v>
      </c>
    </row>
    <row r="40" spans="1:2" x14ac:dyDescent="0.2">
      <c r="A40" s="1">
        <v>34</v>
      </c>
    </row>
    <row r="41" spans="1:2" x14ac:dyDescent="0.2">
      <c r="A41" s="1">
        <v>35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9"/>
  <sheetViews>
    <sheetView tabSelected="1" workbookViewId="0">
      <selection activeCell="D26" sqref="D26"/>
    </sheetView>
  </sheetViews>
  <sheetFormatPr baseColWidth="10" defaultColWidth="8.83203125" defaultRowHeight="15" x14ac:dyDescent="0.2"/>
  <sheetData>
    <row r="1" spans="1:1" x14ac:dyDescent="0.2">
      <c r="A1" t="s">
        <v>208</v>
      </c>
    </row>
    <row r="2" spans="1:1" x14ac:dyDescent="0.2">
      <c r="A2">
        <v>3.5</v>
      </c>
    </row>
    <row r="3" spans="1:1" x14ac:dyDescent="0.2">
      <c r="A3">
        <v>5.8</v>
      </c>
    </row>
    <row r="4" spans="1:1" x14ac:dyDescent="0.2">
      <c r="A4">
        <v>7.2</v>
      </c>
    </row>
    <row r="5" spans="1:1" x14ac:dyDescent="0.2">
      <c r="A5">
        <v>1.9</v>
      </c>
    </row>
    <row r="6" spans="1:1" x14ac:dyDescent="0.2">
      <c r="A6">
        <v>6.8</v>
      </c>
    </row>
    <row r="7" spans="1:1" x14ac:dyDescent="0.2">
      <c r="A7">
        <v>8.1</v>
      </c>
    </row>
    <row r="8" spans="1:1" x14ac:dyDescent="0.2">
      <c r="A8">
        <v>5.4</v>
      </c>
    </row>
    <row r="9" spans="1:1" x14ac:dyDescent="0.2">
      <c r="A9">
        <f>A2+1</f>
        <v>4.5</v>
      </c>
    </row>
    <row r="10" spans="1:1" x14ac:dyDescent="0.2">
      <c r="A10">
        <f t="shared" ref="A10:A15" si="0">A3+1</f>
        <v>6.8</v>
      </c>
    </row>
    <row r="11" spans="1:1" x14ac:dyDescent="0.2">
      <c r="A11">
        <f t="shared" si="0"/>
        <v>8.1999999999999993</v>
      </c>
    </row>
    <row r="12" spans="1:1" x14ac:dyDescent="0.2">
      <c r="A12">
        <f t="shared" si="0"/>
        <v>2.9</v>
      </c>
    </row>
    <row r="13" spans="1:1" x14ac:dyDescent="0.2">
      <c r="A13">
        <f t="shared" si="0"/>
        <v>7.8</v>
      </c>
    </row>
    <row r="14" spans="1:1" x14ac:dyDescent="0.2">
      <c r="A14">
        <f t="shared" si="0"/>
        <v>9.1</v>
      </c>
    </row>
    <row r="15" spans="1:1" x14ac:dyDescent="0.2">
      <c r="A15">
        <f t="shared" si="0"/>
        <v>6.4</v>
      </c>
    </row>
    <row r="16" spans="1:1" x14ac:dyDescent="0.2">
      <c r="A16">
        <f>A2-1</f>
        <v>2.5</v>
      </c>
    </row>
    <row r="17" spans="1:1" x14ac:dyDescent="0.2">
      <c r="A17">
        <f t="shared" ref="A17:A22" si="1">A3-1</f>
        <v>4.8</v>
      </c>
    </row>
    <row r="18" spans="1:1" x14ac:dyDescent="0.2">
      <c r="A18">
        <f t="shared" si="1"/>
        <v>6.2</v>
      </c>
    </row>
    <row r="19" spans="1:1" x14ac:dyDescent="0.2">
      <c r="A19">
        <f t="shared" si="1"/>
        <v>0.89999999999999991</v>
      </c>
    </row>
    <row r="20" spans="1:1" x14ac:dyDescent="0.2">
      <c r="A20">
        <f t="shared" si="1"/>
        <v>5.8</v>
      </c>
    </row>
    <row r="21" spans="1:1" x14ac:dyDescent="0.2">
      <c r="A21">
        <f t="shared" si="1"/>
        <v>7.1</v>
      </c>
    </row>
    <row r="22" spans="1:1" x14ac:dyDescent="0.2">
      <c r="A22">
        <f t="shared" si="1"/>
        <v>4.4000000000000004</v>
      </c>
    </row>
    <row r="23" spans="1:1" x14ac:dyDescent="0.2">
      <c r="A23">
        <v>3.5</v>
      </c>
    </row>
    <row r="24" spans="1:1" x14ac:dyDescent="0.2">
      <c r="A24">
        <v>5.8</v>
      </c>
    </row>
    <row r="25" spans="1:1" x14ac:dyDescent="0.2">
      <c r="A25">
        <v>7.2</v>
      </c>
    </row>
    <row r="26" spans="1:1" x14ac:dyDescent="0.2">
      <c r="A26">
        <v>1.9</v>
      </c>
    </row>
    <row r="27" spans="1:1" x14ac:dyDescent="0.2">
      <c r="A27">
        <v>6.8</v>
      </c>
    </row>
    <row r="28" spans="1:1" x14ac:dyDescent="0.2">
      <c r="A28">
        <v>8.1</v>
      </c>
    </row>
    <row r="29" spans="1:1" x14ac:dyDescent="0.2">
      <c r="A29">
        <v>5.4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36"/>
  <sheetViews>
    <sheetView workbookViewId="0">
      <selection activeCell="I2" sqref="I2"/>
    </sheetView>
  </sheetViews>
  <sheetFormatPr baseColWidth="10" defaultColWidth="8.83203125" defaultRowHeight="15" x14ac:dyDescent="0.2"/>
  <cols>
    <col min="1" max="1" width="11.1640625" style="1" customWidth="1"/>
  </cols>
  <sheetData>
    <row r="1" spans="1:1" x14ac:dyDescent="0.2">
      <c r="A1" s="1" t="s">
        <v>189</v>
      </c>
    </row>
    <row r="2" spans="1:1" x14ac:dyDescent="0.2">
      <c r="A2" s="1">
        <v>20</v>
      </c>
    </row>
    <row r="3" spans="1:1" x14ac:dyDescent="0.2">
      <c r="A3" s="1">
        <v>90</v>
      </c>
    </row>
    <row r="4" spans="1:1" x14ac:dyDescent="0.2">
      <c r="A4" s="1">
        <v>80</v>
      </c>
    </row>
    <row r="5" spans="1:1" x14ac:dyDescent="0.2">
      <c r="A5" s="1">
        <v>70</v>
      </c>
    </row>
    <row r="6" spans="1:1" x14ac:dyDescent="0.2">
      <c r="A6" s="1">
        <v>80</v>
      </c>
    </row>
    <row r="7" spans="1:1" x14ac:dyDescent="0.2">
      <c r="A7" s="1">
        <v>40</v>
      </c>
    </row>
    <row r="8" spans="1:1" x14ac:dyDescent="0.2">
      <c r="A8" s="1">
        <v>90</v>
      </c>
    </row>
    <row r="9" spans="1:1" x14ac:dyDescent="0.2">
      <c r="A9" s="1">
        <v>100</v>
      </c>
    </row>
    <row r="10" spans="1:1" x14ac:dyDescent="0.2">
      <c r="A10" s="1">
        <v>90</v>
      </c>
    </row>
    <row r="11" spans="1:1" x14ac:dyDescent="0.2">
      <c r="A11" s="1">
        <v>30</v>
      </c>
    </row>
    <row r="12" spans="1:1" x14ac:dyDescent="0.2">
      <c r="A12" s="1">
        <v>40</v>
      </c>
    </row>
    <row r="13" spans="1:1" x14ac:dyDescent="0.2">
      <c r="A13" s="1">
        <v>60</v>
      </c>
    </row>
    <row r="14" spans="1:1" x14ac:dyDescent="0.2">
      <c r="A14" s="1">
        <v>90</v>
      </c>
    </row>
    <row r="15" spans="1:1" x14ac:dyDescent="0.2">
      <c r="A15" s="1">
        <v>80</v>
      </c>
    </row>
    <row r="16" spans="1:1" x14ac:dyDescent="0.2">
      <c r="A16" s="1">
        <v>80</v>
      </c>
    </row>
    <row r="17" spans="1:1" x14ac:dyDescent="0.2">
      <c r="A17" s="1">
        <v>100</v>
      </c>
    </row>
    <row r="18" spans="1:1" x14ac:dyDescent="0.2">
      <c r="A18" s="1">
        <v>60</v>
      </c>
    </row>
    <row r="19" spans="1:1" x14ac:dyDescent="0.2">
      <c r="A19" s="1">
        <v>80</v>
      </c>
    </row>
    <row r="20" spans="1:1" x14ac:dyDescent="0.2">
      <c r="A20" s="1">
        <v>100</v>
      </c>
    </row>
    <row r="21" spans="1:1" x14ac:dyDescent="0.2">
      <c r="A21" s="1">
        <v>90</v>
      </c>
    </row>
    <row r="22" spans="1:1" x14ac:dyDescent="0.2">
      <c r="A22" s="1">
        <v>60</v>
      </c>
    </row>
    <row r="23" spans="1:1" x14ac:dyDescent="0.2">
      <c r="A23" s="1">
        <v>90</v>
      </c>
    </row>
    <row r="24" spans="1:1" x14ac:dyDescent="0.2">
      <c r="A24" s="1">
        <v>80</v>
      </c>
    </row>
    <row r="25" spans="1:1" x14ac:dyDescent="0.2">
      <c r="A25" s="1">
        <v>20</v>
      </c>
    </row>
    <row r="26" spans="1:1" x14ac:dyDescent="0.2">
      <c r="A26" s="1">
        <v>90</v>
      </c>
    </row>
    <row r="27" spans="1:1" x14ac:dyDescent="0.2">
      <c r="A27" s="1">
        <v>20</v>
      </c>
    </row>
    <row r="28" spans="1:1" x14ac:dyDescent="0.2">
      <c r="A28" s="1">
        <v>90</v>
      </c>
    </row>
    <row r="29" spans="1:1" x14ac:dyDescent="0.2">
      <c r="A29" s="1">
        <v>80</v>
      </c>
    </row>
    <row r="30" spans="1:1" x14ac:dyDescent="0.2">
      <c r="A30" s="1">
        <v>70</v>
      </c>
    </row>
    <row r="31" spans="1:1" x14ac:dyDescent="0.2">
      <c r="A31" s="1">
        <v>80</v>
      </c>
    </row>
    <row r="32" spans="1:1" x14ac:dyDescent="0.2">
      <c r="A32" s="1">
        <v>40</v>
      </c>
    </row>
    <row r="33" spans="1:1" x14ac:dyDescent="0.2">
      <c r="A33" s="1">
        <v>90</v>
      </c>
    </row>
    <row r="34" spans="1:1" x14ac:dyDescent="0.2">
      <c r="A34" s="1">
        <v>100</v>
      </c>
    </row>
    <row r="35" spans="1:1" x14ac:dyDescent="0.2">
      <c r="A35" s="1">
        <v>90</v>
      </c>
    </row>
    <row r="36" spans="1:1" x14ac:dyDescent="0.2">
      <c r="A36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Appraisers</vt:lpstr>
      <vt:lpstr>Customers</vt:lpstr>
      <vt:lpstr>Debt_Payments</vt:lpstr>
      <vt:lpstr>Diet_Center</vt:lpstr>
      <vt:lpstr>Diets</vt:lpstr>
      <vt:lpstr>Economics</vt:lpstr>
      <vt:lpstr>Fidelity_Returns</vt:lpstr>
      <vt:lpstr>Field_Choice</vt:lpstr>
      <vt:lpstr>Gold_Oil</vt:lpstr>
      <vt:lpstr>Highway_Speeds</vt:lpstr>
      <vt:lpstr>Industrial</vt:lpstr>
      <vt:lpstr>Income</vt:lpstr>
      <vt:lpstr>Labor_Costs</vt:lpstr>
      <vt:lpstr>Latinx_Income</vt:lpstr>
      <vt:lpstr>Longevity</vt:lpstr>
      <vt:lpstr>Lottery</vt:lpstr>
      <vt:lpstr>Math_Scores</vt:lpstr>
      <vt:lpstr>MPG</vt:lpstr>
      <vt:lpstr>Nicknames</vt:lpstr>
      <vt:lpstr>Premiums</vt:lpstr>
      <vt:lpstr>Prime</vt:lpstr>
      <vt:lpstr>Returns</vt:lpstr>
      <vt:lpstr>Safety_Program</vt:lpstr>
      <vt:lpstr>Salaries</vt:lpstr>
      <vt:lpstr>Searches</vt:lpstr>
      <vt:lpstr>Silicon_Valley</vt:lpstr>
      <vt:lpstr>Smoking</vt:lpstr>
      <vt:lpstr>Spam</vt:lpstr>
      <vt:lpstr>Spending</vt:lpstr>
      <vt:lpstr>Startups</vt:lpstr>
      <vt:lpstr>Stock_Price</vt:lpstr>
      <vt:lpstr>Study_Hours</vt:lpstr>
      <vt:lpstr>Sudoku</vt:lpstr>
      <vt:lpstr>Teacher_Sal</vt:lpstr>
      <vt:lpstr>Tractor_Times</vt:lpstr>
      <vt:lpstr>Wait_Time</vt:lpstr>
      <vt:lpstr>Wellbeing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Janiak, Tony (MU-Student)</cp:lastModifiedBy>
  <dcterms:created xsi:type="dcterms:W3CDTF">2012-08-15T14:39:11Z</dcterms:created>
  <dcterms:modified xsi:type="dcterms:W3CDTF">2026-03-03T23:06:02Z</dcterms:modified>
</cp:coreProperties>
</file>